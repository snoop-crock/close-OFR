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26.02 valid test\тесты\"/>
    </mc:Choice>
  </mc:AlternateContent>
  <xr:revisionPtr revIDLastSave="0" documentId="13_ncr:1_{CD25808E-7B0A-4970-8D4A-C4E27AED2F27}" xr6:coauthVersionLast="47" xr6:coauthVersionMax="47" xr10:uidLastSave="{00000000-0000-0000-0000-000000000000}"/>
  <bookViews>
    <workbookView xWindow="-108" yWindow="-108" windowWidth="49368" windowHeight="2541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68" i="1" l="1"/>
  <c r="AC68" i="1"/>
  <c r="AJ68" i="1"/>
  <c r="AD68" i="1"/>
  <c r="X68" i="1"/>
  <c r="AF3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4" i="1"/>
  <c r="Y3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4" i="1"/>
  <c r="Z34" i="1"/>
  <c r="AI34" i="1"/>
  <c r="AJ34" i="1"/>
  <c r="X34" i="1"/>
  <c r="AC34" i="1"/>
  <c r="AD34" i="1"/>
</calcChain>
</file>

<file path=xl/sharedStrings.xml><?xml version="1.0" encoding="utf-8"?>
<sst xmlns="http://schemas.openxmlformats.org/spreadsheetml/2006/main" count="79" uniqueCount="64">
  <si>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</si>
  <si>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</si>
  <si>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</si>
  <si>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</si>
  <si>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</si>
  <si>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</si>
  <si>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</si>
  <si>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</si>
  <si>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</si>
  <si>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</si>
  <si>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</si>
  <si>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</si>
  <si>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</si>
  <si>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</si>
  <si>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</si>
  <si>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</si>
  <si>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</si>
  <si>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</si>
  <si>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Temp</t>
  </si>
  <si>
    <t>Прогноз</t>
  </si>
  <si>
    <t>old</t>
  </si>
  <si>
    <t>forest_optuna</t>
  </si>
  <si>
    <t>W_ID</t>
  </si>
  <si>
    <t>Прогнозный дебит</t>
  </si>
  <si>
    <t>Нормированный дебит</t>
  </si>
  <si>
    <t>Рекомендуемый приоритет</t>
  </si>
  <si>
    <t>1k iteration test modif catboost</t>
  </si>
  <si>
    <t xml:space="preserve">Catboost 3 hour </t>
  </si>
  <si>
    <t>ofr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</si>
  <si>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</si>
  <si>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</si>
  <si>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</si>
  <si>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</si>
  <si>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</si>
  <si>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</si>
  <si>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</si>
  <si>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</si>
  <si>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</si>
  <si>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</si>
  <si>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</si>
  <si>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</si>
  <si>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</si>
  <si>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</si>
  <si>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</si>
  <si>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</si>
  <si>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</si>
  <si>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</si>
  <si>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</si>
  <si>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</si>
  <si>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</si>
  <si>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</si>
  <si>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</si>
  <si>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</si>
  <si>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</si>
  <si>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</si>
  <si>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</si>
  <si>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</si>
  <si>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</si>
  <si>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</si>
  <si>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original OFR</t>
  </si>
  <si>
    <t>new models 26.02</t>
  </si>
  <si>
    <t>forest optuna</t>
  </si>
  <si>
    <t>500 trials no graph catboost</t>
  </si>
  <si>
    <t>1k trials test_modif catboost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</si>
</sst>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9" fontId="0" fillId="0" borderId="0" xfId="1" applyFont="1"/>
    <xf numFmtId="0" fontId="0" fillId="2" borderId="0" xfId="0" applyFill="1"/>
    <xf numFmtId="0" fontId="0" fillId="3" borderId="0" xfId="0" applyFill="1"/>
    <xf numFmtId="9" fontId="0" fillId="2" borderId="0" xfId="0" applyNumberFormat="1" applyFill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8"/>
  <sheetViews>
    <sheetView tabSelected="1" zoomScaleNormal="100" workbookViewId="0">
      <selection activeCell="AP34" sqref="AP34"/>
    </sheetView>
  </sheetViews>
  <sheetFormatPr defaultRowHeight="14.4" x14ac:dyDescent="0.3"/>
  <sheetData>
    <row r="1" spans="1:37" x14ac:dyDescent="0.3">
      <c r="U1" s="5"/>
      <c r="V1" s="5"/>
      <c r="W1" s="5"/>
      <c r="X1" s="5" t="s">
        <v>20</v>
      </c>
      <c r="Y1" s="5"/>
      <c r="Z1" s="5"/>
      <c r="AA1" s="5"/>
      <c r="AB1" s="5" t="s">
        <v>20</v>
      </c>
      <c r="AC1" s="5"/>
      <c r="AD1" s="5"/>
      <c r="AE1" s="5"/>
      <c r="AF1" s="5"/>
      <c r="AG1" s="5"/>
      <c r="AH1" s="5" t="s">
        <v>20</v>
      </c>
      <c r="AI1" s="5"/>
      <c r="AJ1" s="5"/>
      <c r="AK1" s="5"/>
    </row>
    <row r="2" spans="1:37" x14ac:dyDescent="0.3">
      <c r="V2" t="s">
        <v>59</v>
      </c>
      <c r="X2" t="s">
        <v>21</v>
      </c>
      <c r="AB2" t="s">
        <v>26</v>
      </c>
      <c r="AH2" t="s">
        <v>27</v>
      </c>
    </row>
    <row r="3" spans="1:37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2"/>
      <c r="U3" s="3"/>
      <c r="V3" s="3" t="s">
        <v>28</v>
      </c>
      <c r="X3" s="1" t="s">
        <v>19</v>
      </c>
      <c r="Y3" s="2"/>
      <c r="AB3" s="1" t="s">
        <v>22</v>
      </c>
      <c r="AC3" s="1" t="s">
        <v>23</v>
      </c>
      <c r="AD3" s="1" t="s">
        <v>24</v>
      </c>
      <c r="AE3" s="1" t="s">
        <v>25</v>
      </c>
      <c r="AH3" s="1" t="s">
        <v>22</v>
      </c>
      <c r="AI3" s="1" t="s">
        <v>23</v>
      </c>
      <c r="AJ3" s="1" t="s">
        <v>24</v>
      </c>
      <c r="AK3" s="1" t="s">
        <v>25</v>
      </c>
    </row>
    <row r="4" spans="1:37" x14ac:dyDescent="0.3">
      <c r="A4">
        <v>3785.7624237693799</v>
      </c>
      <c r="B4">
        <v>968.81232031160209</v>
      </c>
      <c r="C4">
        <v>5374.4036352883504</v>
      </c>
      <c r="D4">
        <v>4344.7742390943786</v>
      </c>
      <c r="E4">
        <v>25.653586000000001</v>
      </c>
      <c r="F4">
        <v>0.97420680290077177</v>
      </c>
      <c r="G4">
        <v>350.01791382727828</v>
      </c>
      <c r="H4">
        <v>23.899999999999981</v>
      </c>
      <c r="I4">
        <v>5020.310387371851</v>
      </c>
      <c r="J4">
        <v>3014582297.1931238</v>
      </c>
      <c r="K4">
        <v>6250000</v>
      </c>
      <c r="L4">
        <v>2464.95689617486</v>
      </c>
      <c r="M4">
        <v>2464.95689617486</v>
      </c>
      <c r="N4">
        <v>2464.95689617486</v>
      </c>
      <c r="O4">
        <v>2613.6543904545638</v>
      </c>
      <c r="P4">
        <v>11795.99737205051</v>
      </c>
      <c r="Q4">
        <v>5639.3302305057514</v>
      </c>
      <c r="R4">
        <v>7747916.666666667</v>
      </c>
      <c r="S4">
        <v>3.5</v>
      </c>
      <c r="U4" s="3" t="s">
        <v>29</v>
      </c>
      <c r="V4" s="3">
        <v>2.8209871860015701E-3</v>
      </c>
      <c r="X4">
        <v>2.708309373750601E-2</v>
      </c>
      <c r="Y4">
        <f>X4/$X$34</f>
        <v>2.2822035703346545E-2</v>
      </c>
      <c r="Z4" s="4">
        <f>$V4/Y4</f>
        <v>0.12360804367631018</v>
      </c>
      <c r="AB4">
        <v>1</v>
      </c>
      <c r="AC4">
        <v>3.9412599377101287E-2</v>
      </c>
      <c r="AD4">
        <v>2.8922120359616121E-2</v>
      </c>
      <c r="AE4">
        <v>27</v>
      </c>
      <c r="AF4" s="4">
        <f>$V4/AD4</f>
        <v>9.7537357252012097E-2</v>
      </c>
      <c r="AH4">
        <v>1</v>
      </c>
      <c r="AI4">
        <v>4.706021045244313E-2</v>
      </c>
      <c r="AJ4">
        <v>3.2921882449178201E-2</v>
      </c>
      <c r="AK4">
        <v>19</v>
      </c>
    </row>
    <row r="5" spans="1:37" x14ac:dyDescent="0.3">
      <c r="A5">
        <v>5143.3716088032897</v>
      </c>
      <c r="B5">
        <v>2062.2000848266748</v>
      </c>
      <c r="C5">
        <v>11556.382799087491</v>
      </c>
      <c r="D5">
        <v>5639.3302305057514</v>
      </c>
      <c r="E5">
        <v>15.733375000000001</v>
      </c>
      <c r="F5">
        <v>1.009245250939484</v>
      </c>
      <c r="G5">
        <v>350.01855665092961</v>
      </c>
      <c r="H5">
        <v>22.200000000000049</v>
      </c>
      <c r="I5">
        <v>2332.027977504275</v>
      </c>
      <c r="J5">
        <v>2834616248.434144</v>
      </c>
      <c r="K5">
        <v>5500000</v>
      </c>
      <c r="L5">
        <v>2464.95689617486</v>
      </c>
      <c r="M5">
        <v>2464.95689617486</v>
      </c>
      <c r="N5">
        <v>2464.95689617486</v>
      </c>
      <c r="O5">
        <v>4344.7742390943786</v>
      </c>
      <c r="P5">
        <v>7738.0931040132327</v>
      </c>
      <c r="Q5">
        <v>3807.7971121525702</v>
      </c>
      <c r="R5">
        <v>7747916.666666667</v>
      </c>
      <c r="S5">
        <v>3.5</v>
      </c>
      <c r="U5" s="3" t="s">
        <v>30</v>
      </c>
      <c r="V5" s="3">
        <v>5.7089957380863733E-2</v>
      </c>
      <c r="X5">
        <v>4.3116016628936688E-2</v>
      </c>
      <c r="Y5">
        <f t="shared" ref="Y5:Y33" si="0">X5/$X$34</f>
        <v>3.6332454498320142E-2</v>
      </c>
      <c r="Z5" s="4">
        <f t="shared" ref="Z5:Z33" si="1">$V5/Y5</f>
        <v>1.571321237972054</v>
      </c>
      <c r="AB5">
        <v>2</v>
      </c>
      <c r="AC5">
        <v>5.3726074052974582E-2</v>
      </c>
      <c r="AD5">
        <v>3.9425767515161123E-2</v>
      </c>
      <c r="AE5">
        <v>3</v>
      </c>
      <c r="AF5" s="4">
        <f t="shared" ref="AF5:AF33" si="2">$V5/AD5</f>
        <v>1.4480366770008948</v>
      </c>
      <c r="AH5">
        <v>2</v>
      </c>
      <c r="AI5">
        <v>4.8523355841098237E-2</v>
      </c>
      <c r="AJ5">
        <v>3.3945454167796797E-2</v>
      </c>
      <c r="AK5">
        <v>13</v>
      </c>
    </row>
    <row r="6" spans="1:37" x14ac:dyDescent="0.3">
      <c r="A6">
        <v>1970.2545165306101</v>
      </c>
      <c r="B6">
        <v>464.38667453921602</v>
      </c>
      <c r="C6">
        <v>2568.5679777561841</v>
      </c>
      <c r="D6">
        <v>2238.3947392111199</v>
      </c>
      <c r="E6">
        <v>26.636437000000001</v>
      </c>
      <c r="F6">
        <v>0.99296426169911534</v>
      </c>
      <c r="G6">
        <v>350.01808524703398</v>
      </c>
      <c r="H6">
        <v>30.200000000000049</v>
      </c>
      <c r="I6">
        <v>5315.29468507416</v>
      </c>
      <c r="J6">
        <v>2686369887.6975012</v>
      </c>
      <c r="K6">
        <v>7187500</v>
      </c>
      <c r="L6">
        <v>2464.95689617486</v>
      </c>
      <c r="M6">
        <v>2464.95689617486</v>
      </c>
      <c r="N6">
        <v>2464.95689617486</v>
      </c>
      <c r="O6">
        <v>2233.1667411011758</v>
      </c>
      <c r="P6">
        <v>4344.7742390943786</v>
      </c>
      <c r="Q6">
        <v>3807.7971121525702</v>
      </c>
      <c r="R6">
        <v>7747916.666666667</v>
      </c>
      <c r="S6">
        <v>3.5</v>
      </c>
      <c r="U6" s="3" t="s">
        <v>31</v>
      </c>
      <c r="V6" s="3">
        <v>5.8520766768227712E-2</v>
      </c>
      <c r="X6">
        <v>2.6392000539089029E-2</v>
      </c>
      <c r="Y6">
        <f t="shared" si="0"/>
        <v>2.2239674109007332E-2</v>
      </c>
      <c r="Z6" s="4">
        <f t="shared" si="1"/>
        <v>2.6313679994315251</v>
      </c>
      <c r="AB6">
        <v>3</v>
      </c>
      <c r="AC6">
        <v>4.471005906816572E-2</v>
      </c>
      <c r="AD6">
        <v>3.2809551516318702E-2</v>
      </c>
      <c r="AE6">
        <v>18</v>
      </c>
      <c r="AF6" s="4">
        <f t="shared" si="2"/>
        <v>1.7836503110723978</v>
      </c>
      <c r="AH6">
        <v>3</v>
      </c>
      <c r="AI6">
        <v>4.9712518186737498E-2</v>
      </c>
      <c r="AJ6">
        <v>3.4777355737716197E-2</v>
      </c>
      <c r="AK6">
        <v>4</v>
      </c>
    </row>
    <row r="7" spans="1:37" x14ac:dyDescent="0.3">
      <c r="A7">
        <v>2475.200186272551</v>
      </c>
      <c r="B7">
        <v>847.07563673152004</v>
      </c>
      <c r="C7">
        <v>5850.4257216821043</v>
      </c>
      <c r="D7">
        <v>2613.6543904545638</v>
      </c>
      <c r="E7">
        <v>16.783546999999999</v>
      </c>
      <c r="F7">
        <v>0.97234714449812087</v>
      </c>
      <c r="G7">
        <v>350.02151362451991</v>
      </c>
      <c r="H7">
        <v>23.200000000000049</v>
      </c>
      <c r="I7">
        <v>4059.6750644928729</v>
      </c>
      <c r="J7">
        <v>3831743551.0348902</v>
      </c>
      <c r="K7">
        <v>8250000</v>
      </c>
      <c r="L7">
        <v>2464.95689617486</v>
      </c>
      <c r="M7">
        <v>2464.95689617486</v>
      </c>
      <c r="N7">
        <v>2464.95689617486</v>
      </c>
      <c r="O7">
        <v>4475.7479966463543</v>
      </c>
      <c r="P7">
        <v>4344.7742390943786</v>
      </c>
      <c r="Q7">
        <v>2233.1667411011758</v>
      </c>
      <c r="R7">
        <v>7747916.666666667</v>
      </c>
      <c r="S7">
        <v>3.5</v>
      </c>
      <c r="U7" s="3" t="s">
        <v>32</v>
      </c>
      <c r="V7" s="3">
        <v>4.6996568533856829E-2</v>
      </c>
      <c r="X7">
        <v>3.8710671128522639E-2</v>
      </c>
      <c r="Y7">
        <f t="shared" si="0"/>
        <v>3.2620214188166984E-2</v>
      </c>
      <c r="Z7" s="4">
        <f t="shared" si="1"/>
        <v>1.4407191891126478</v>
      </c>
      <c r="AB7">
        <v>4</v>
      </c>
      <c r="AC7">
        <v>4.3484910362167277E-2</v>
      </c>
      <c r="AD7">
        <v>3.1910501494413733E-2</v>
      </c>
      <c r="AE7">
        <v>21</v>
      </c>
      <c r="AF7" s="4">
        <f t="shared" si="2"/>
        <v>1.4727618286439048</v>
      </c>
      <c r="AH7">
        <v>4</v>
      </c>
      <c r="AI7">
        <v>4.7977239157489748E-2</v>
      </c>
      <c r="AJ7">
        <v>3.3563407655712828E-2</v>
      </c>
      <c r="AK7">
        <v>15</v>
      </c>
    </row>
    <row r="8" spans="1:37" x14ac:dyDescent="0.3">
      <c r="A8">
        <v>10512.818076903441</v>
      </c>
      <c r="B8">
        <v>2322.998871110834</v>
      </c>
      <c r="C8">
        <v>12965.982160231801</v>
      </c>
      <c r="D8">
        <v>11795.99737205051</v>
      </c>
      <c r="E8">
        <v>27.062847000000001</v>
      </c>
      <c r="F8">
        <v>0.98159070255985992</v>
      </c>
      <c r="G8">
        <v>350.01928518297387</v>
      </c>
      <c r="H8">
        <v>20.700000000000049</v>
      </c>
      <c r="I8">
        <v>4917.3862491054579</v>
      </c>
      <c r="J8">
        <v>3348167083.5091228</v>
      </c>
      <c r="K8">
        <v>5625000</v>
      </c>
      <c r="L8">
        <v>2464.95689617486</v>
      </c>
      <c r="M8">
        <v>2464.95689617486</v>
      </c>
      <c r="N8">
        <v>2464.95689617486</v>
      </c>
      <c r="O8">
        <v>19517.539220130398</v>
      </c>
      <c r="P8">
        <v>4475.7479966463543</v>
      </c>
      <c r="Q8">
        <v>4344.7742390943786</v>
      </c>
      <c r="R8">
        <v>7747916.666666667</v>
      </c>
      <c r="S8">
        <v>3.5</v>
      </c>
      <c r="U8" s="3" t="s">
        <v>33</v>
      </c>
      <c r="V8" s="3">
        <v>5.3163293315241507E-2</v>
      </c>
      <c r="X8">
        <v>4.3311079286016872E-2</v>
      </c>
      <c r="Y8">
        <f t="shared" si="0"/>
        <v>3.6496827408129512E-2</v>
      </c>
      <c r="Z8" s="4">
        <f t="shared" si="1"/>
        <v>1.4566551969226675</v>
      </c>
      <c r="AB8">
        <v>5</v>
      </c>
      <c r="AC8">
        <v>4.1238548699766397E-2</v>
      </c>
      <c r="AD8">
        <v>3.02620554797382E-2</v>
      </c>
      <c r="AE8">
        <v>25</v>
      </c>
      <c r="AF8" s="4">
        <f t="shared" si="2"/>
        <v>1.7567641216848839</v>
      </c>
      <c r="AH8">
        <v>5</v>
      </c>
      <c r="AI8">
        <v>4.6779916292351231E-2</v>
      </c>
      <c r="AJ8">
        <v>3.2725797236192129E-2</v>
      </c>
      <c r="AK8">
        <v>21</v>
      </c>
    </row>
    <row r="9" spans="1:37" x14ac:dyDescent="0.3">
      <c r="A9">
        <v>7336.00369979275</v>
      </c>
      <c r="B9">
        <v>2282.157465934843</v>
      </c>
      <c r="C9">
        <v>13384.767296614769</v>
      </c>
      <c r="D9">
        <v>7738.0931040132327</v>
      </c>
      <c r="E9">
        <v>16.180463</v>
      </c>
      <c r="F9">
        <v>1.006028875687921</v>
      </c>
      <c r="G9">
        <v>350.02248499203591</v>
      </c>
      <c r="H9">
        <v>23.200000000000049</v>
      </c>
      <c r="I9">
        <v>2218.4941627851472</v>
      </c>
      <c r="J9">
        <v>3058805424.6318021</v>
      </c>
      <c r="K9">
        <v>5500000</v>
      </c>
      <c r="L9">
        <v>2464.95689617486</v>
      </c>
      <c r="M9">
        <v>2464.95689617486</v>
      </c>
      <c r="N9">
        <v>2464.95689617486</v>
      </c>
      <c r="O9">
        <v>11640.009147867609</v>
      </c>
      <c r="P9">
        <v>11795.99737205051</v>
      </c>
      <c r="Q9">
        <v>5639.3302305057514</v>
      </c>
      <c r="R9">
        <v>7747916.666666667</v>
      </c>
      <c r="S9">
        <v>3.5</v>
      </c>
      <c r="U9" s="3" t="s">
        <v>34</v>
      </c>
      <c r="V9" s="3">
        <v>4.9569522666868107E-2</v>
      </c>
      <c r="X9">
        <v>4.4558921219535752E-2</v>
      </c>
      <c r="Y9">
        <f t="shared" si="0"/>
        <v>3.754834291942661E-2</v>
      </c>
      <c r="Z9" s="4">
        <f t="shared" si="1"/>
        <v>1.3201520709778654</v>
      </c>
      <c r="AB9">
        <v>6</v>
      </c>
      <c r="AC9">
        <v>4.6727008244488388E-2</v>
      </c>
      <c r="AD9">
        <v>3.4289647926065397E-2</v>
      </c>
      <c r="AE9">
        <v>11</v>
      </c>
      <c r="AF9" s="4">
        <f t="shared" si="2"/>
        <v>1.4456118876970929</v>
      </c>
      <c r="AH9">
        <v>6</v>
      </c>
      <c r="AI9">
        <v>4.9064694625158722E-2</v>
      </c>
      <c r="AJ9">
        <v>3.4324158207635951E-2</v>
      </c>
      <c r="AK9">
        <v>11</v>
      </c>
    </row>
    <row r="10" spans="1:37" x14ac:dyDescent="0.3">
      <c r="A10">
        <v>4141.489989223448</v>
      </c>
      <c r="B10">
        <v>1333.6257887877839</v>
      </c>
      <c r="C10">
        <v>8137.8286598017503</v>
      </c>
      <c r="D10">
        <v>4475.7479966463543</v>
      </c>
      <c r="E10">
        <v>18.175623000000002</v>
      </c>
      <c r="F10">
        <v>0.97572655418744103</v>
      </c>
      <c r="G10">
        <v>350.01821381179582</v>
      </c>
      <c r="H10">
        <v>21.5</v>
      </c>
      <c r="I10">
        <v>4307.7282748361195</v>
      </c>
      <c r="J10">
        <v>4176871895.955471</v>
      </c>
      <c r="K10">
        <v>8000000</v>
      </c>
      <c r="L10">
        <v>2464.95689617486</v>
      </c>
      <c r="M10">
        <v>2464.95689617486</v>
      </c>
      <c r="N10">
        <v>2464.95689617486</v>
      </c>
      <c r="O10">
        <v>9301.6085673737743</v>
      </c>
      <c r="P10">
        <v>2613.6543904545638</v>
      </c>
      <c r="Q10">
        <v>11795.99737205051</v>
      </c>
      <c r="R10">
        <v>7747916.666666667</v>
      </c>
      <c r="S10">
        <v>3.5</v>
      </c>
      <c r="U10" s="3" t="s">
        <v>35</v>
      </c>
      <c r="V10" s="3">
        <v>1.388151572775999E-2</v>
      </c>
      <c r="X10">
        <v>3.1008691272751292E-2</v>
      </c>
      <c r="Y10">
        <f t="shared" si="0"/>
        <v>2.6130008122401023E-2</v>
      </c>
      <c r="Z10" s="4">
        <f t="shared" si="1"/>
        <v>0.53124804488137489</v>
      </c>
      <c r="AB10">
        <v>7</v>
      </c>
      <c r="AC10">
        <v>4.4715062598697841E-2</v>
      </c>
      <c r="AD10">
        <v>3.2813223253645343E-2</v>
      </c>
      <c r="AE10">
        <v>17</v>
      </c>
      <c r="AF10" s="4">
        <f t="shared" si="2"/>
        <v>0.42304639262215243</v>
      </c>
      <c r="AH10">
        <v>7</v>
      </c>
      <c r="AI10">
        <v>4.5154188381275162E-2</v>
      </c>
      <c r="AJ10">
        <v>3.1588487762472688E-2</v>
      </c>
      <c r="AK10">
        <v>25</v>
      </c>
    </row>
    <row r="11" spans="1:37" x14ac:dyDescent="0.3">
      <c r="A11">
        <v>17632.20418236086</v>
      </c>
      <c r="B11">
        <v>3316.661801032003</v>
      </c>
      <c r="C11">
        <v>18351.122536247709</v>
      </c>
      <c r="D11">
        <v>19517.539220130398</v>
      </c>
      <c r="E11">
        <v>30.686727999999999</v>
      </c>
      <c r="F11">
        <v>0.97749554791243964</v>
      </c>
      <c r="G11">
        <v>350.01928518297387</v>
      </c>
      <c r="H11">
        <v>20.399999999999981</v>
      </c>
      <c r="I11">
        <v>5170.6014416871476</v>
      </c>
      <c r="J11">
        <v>4538749987.2114639</v>
      </c>
      <c r="K11">
        <v>6750000</v>
      </c>
      <c r="L11">
        <v>2464.95689617486</v>
      </c>
      <c r="M11">
        <v>2464.95689617486</v>
      </c>
      <c r="N11">
        <v>2464.95689617486</v>
      </c>
      <c r="O11">
        <v>16631.76605148007</v>
      </c>
      <c r="P11">
        <v>9301.6085673737743</v>
      </c>
      <c r="Q11">
        <v>11640.009147867609</v>
      </c>
      <c r="R11">
        <v>7747916.666666667</v>
      </c>
      <c r="S11">
        <v>3.5</v>
      </c>
      <c r="U11" s="3" t="s">
        <v>36</v>
      </c>
      <c r="V11" s="3">
        <v>8.4229365555828287E-3</v>
      </c>
      <c r="X11">
        <v>3.16646260179725E-2</v>
      </c>
      <c r="Y11">
        <f t="shared" si="0"/>
        <v>2.6682742840214043E-2</v>
      </c>
      <c r="Z11" s="4">
        <f t="shared" si="1"/>
        <v>0.31566981723065102</v>
      </c>
      <c r="AB11">
        <v>8</v>
      </c>
      <c r="AC11">
        <v>4.0572658646851778E-2</v>
      </c>
      <c r="AD11">
        <v>2.9773405845838201E-2</v>
      </c>
      <c r="AE11">
        <v>26</v>
      </c>
      <c r="AF11" s="4">
        <f t="shared" si="2"/>
        <v>0.28290134488460639</v>
      </c>
      <c r="AH11">
        <v>8</v>
      </c>
      <c r="AI11">
        <v>4.3764114840513457E-2</v>
      </c>
      <c r="AJ11">
        <v>3.061603487149132E-2</v>
      </c>
      <c r="AK11">
        <v>28</v>
      </c>
    </row>
    <row r="12" spans="1:37" x14ac:dyDescent="0.3">
      <c r="A12">
        <v>11148.653685228701</v>
      </c>
      <c r="B12">
        <v>2893.6669767372368</v>
      </c>
      <c r="C12">
        <v>16632.250558810822</v>
      </c>
      <c r="D12">
        <v>11640.009147867609</v>
      </c>
      <c r="E12">
        <v>19.074159000000002</v>
      </c>
      <c r="F12">
        <v>0.97961299368428234</v>
      </c>
      <c r="G12">
        <v>350.03071293816492</v>
      </c>
      <c r="H12">
        <v>19</v>
      </c>
      <c r="I12">
        <v>2494.8610099987882</v>
      </c>
      <c r="J12">
        <v>3796733464.6574459</v>
      </c>
      <c r="K12">
        <v>5875000</v>
      </c>
      <c r="L12">
        <v>2464.95689617486</v>
      </c>
      <c r="M12">
        <v>2464.95689617486</v>
      </c>
      <c r="N12">
        <v>2464.95689617486</v>
      </c>
      <c r="O12">
        <v>11821.15933035946</v>
      </c>
      <c r="P12">
        <v>19517.539220130398</v>
      </c>
      <c r="Q12">
        <v>7738.0931040132327</v>
      </c>
      <c r="R12">
        <v>7747916.666666667</v>
      </c>
      <c r="S12">
        <v>3.5</v>
      </c>
      <c r="U12" s="3" t="s">
        <v>37</v>
      </c>
      <c r="V12" s="3">
        <v>2.9674137780136773E-3</v>
      </c>
      <c r="X12">
        <v>5.078254799197271E-2</v>
      </c>
      <c r="Y12">
        <f t="shared" si="0"/>
        <v>4.2792789280743204E-2</v>
      </c>
      <c r="Z12" s="4">
        <f t="shared" si="1"/>
        <v>6.9343780293120938E-2</v>
      </c>
      <c r="AB12">
        <v>9</v>
      </c>
      <c r="AC12">
        <v>4.6643373876577243E-2</v>
      </c>
      <c r="AD12">
        <v>3.4228274576092149E-2</v>
      </c>
      <c r="AE12">
        <v>12</v>
      </c>
      <c r="AF12" s="4">
        <f t="shared" si="2"/>
        <v>8.6694810497002492E-2</v>
      </c>
      <c r="AH12">
        <v>9</v>
      </c>
      <c r="AI12">
        <v>4.9130939842740418E-2</v>
      </c>
      <c r="AJ12">
        <v>3.4370501333709488E-2</v>
      </c>
      <c r="AK12">
        <v>10</v>
      </c>
    </row>
    <row r="13" spans="1:37" x14ac:dyDescent="0.3">
      <c r="A13">
        <v>8005.8791871079366</v>
      </c>
      <c r="B13">
        <v>2306.263490976783</v>
      </c>
      <c r="C13">
        <v>13056.80743814286</v>
      </c>
      <c r="D13">
        <v>9301.6085673737743</v>
      </c>
      <c r="E13">
        <v>22.747772000000001</v>
      </c>
      <c r="F13">
        <v>0.96865675460436296</v>
      </c>
      <c r="G13">
        <v>350.01991371920542</v>
      </c>
      <c r="H13">
        <v>30.799999999999951</v>
      </c>
      <c r="I13">
        <v>4875.2108782104324</v>
      </c>
      <c r="J13">
        <v>4205897767.538928</v>
      </c>
      <c r="K13">
        <v>8750000</v>
      </c>
      <c r="L13">
        <v>2464.95689617486</v>
      </c>
      <c r="M13">
        <v>2464.95689617486</v>
      </c>
      <c r="N13">
        <v>2464.95689617486</v>
      </c>
      <c r="O13">
        <v>10107.32507348248</v>
      </c>
      <c r="P13">
        <v>4475.7479966463543</v>
      </c>
      <c r="Q13">
        <v>19517.539220130398</v>
      </c>
      <c r="R13">
        <v>7747916.666666667</v>
      </c>
      <c r="S13">
        <v>3.5</v>
      </c>
      <c r="U13" s="3" t="s">
        <v>38</v>
      </c>
      <c r="V13" s="3">
        <v>2.6944337526021739E-2</v>
      </c>
      <c r="X13">
        <v>4.033976540763632E-2</v>
      </c>
      <c r="Y13">
        <f t="shared" si="0"/>
        <v>3.3992998559199246E-2</v>
      </c>
      <c r="Z13" s="4">
        <f t="shared" si="1"/>
        <v>0.79264374041901087</v>
      </c>
      <c r="AB13">
        <v>10</v>
      </c>
      <c r="AC13">
        <v>3.6061830644030117E-2</v>
      </c>
      <c r="AD13">
        <v>2.646322807322132E-2</v>
      </c>
      <c r="AE13">
        <v>28</v>
      </c>
      <c r="AF13" s="4">
        <f t="shared" si="2"/>
        <v>1.0181803010376977</v>
      </c>
      <c r="AH13">
        <v>10</v>
      </c>
      <c r="AI13">
        <v>4.8741386462751279E-2</v>
      </c>
      <c r="AJ13">
        <v>3.4097981715535602E-2</v>
      </c>
      <c r="AK13">
        <v>12</v>
      </c>
    </row>
    <row r="14" spans="1:37" x14ac:dyDescent="0.3">
      <c r="A14">
        <v>15239.51696042866</v>
      </c>
      <c r="B14">
        <v>2332.2562129937969</v>
      </c>
      <c r="C14">
        <v>15379.17975881086</v>
      </c>
      <c r="D14">
        <v>16631.76605148007</v>
      </c>
      <c r="E14">
        <v>31.262076</v>
      </c>
      <c r="F14">
        <v>0.96146285998409053</v>
      </c>
      <c r="G14">
        <v>350.01855665092961</v>
      </c>
      <c r="H14">
        <v>19.5</v>
      </c>
      <c r="I14">
        <v>5484.410797125227</v>
      </c>
      <c r="J14">
        <v>4295234140.9403334</v>
      </c>
      <c r="K14">
        <v>5875000</v>
      </c>
      <c r="L14">
        <v>2464.95689617486</v>
      </c>
      <c r="M14">
        <v>2464.95689617486</v>
      </c>
      <c r="N14">
        <v>2464.95689617486</v>
      </c>
      <c r="O14">
        <v>7905.8690866909301</v>
      </c>
      <c r="P14">
        <v>10107.32507348248</v>
      </c>
      <c r="Q14">
        <v>11821.15933035946</v>
      </c>
      <c r="R14">
        <v>7747916.666666667</v>
      </c>
      <c r="S14">
        <v>3.5</v>
      </c>
      <c r="U14" s="3" t="s">
        <v>39</v>
      </c>
      <c r="V14" s="3">
        <v>2.5532664592349152E-2</v>
      </c>
      <c r="X14">
        <v>2.4002956238469049E-2</v>
      </c>
      <c r="Y14">
        <f t="shared" si="0"/>
        <v>2.0226504754942004E-2</v>
      </c>
      <c r="Z14" s="4">
        <f t="shared" si="1"/>
        <v>1.262336963390112</v>
      </c>
      <c r="AB14">
        <v>11</v>
      </c>
      <c r="AC14">
        <v>3.3249501313548542E-2</v>
      </c>
      <c r="AD14">
        <v>2.4399458398736851E-2</v>
      </c>
      <c r="AE14">
        <v>30</v>
      </c>
      <c r="AF14" s="4">
        <f t="shared" si="2"/>
        <v>1.0464439076922694</v>
      </c>
      <c r="AH14">
        <v>11</v>
      </c>
      <c r="AI14">
        <v>4.424815541034377E-2</v>
      </c>
      <c r="AJ14">
        <v>3.0954654834882481E-2</v>
      </c>
      <c r="AK14">
        <v>27</v>
      </c>
    </row>
    <row r="15" spans="1:37" x14ac:dyDescent="0.3">
      <c r="A15">
        <v>10752.74852901421</v>
      </c>
      <c r="B15">
        <v>3424.9443681338789</v>
      </c>
      <c r="C15">
        <v>19973.910995512349</v>
      </c>
      <c r="D15">
        <v>11821.15933035946</v>
      </c>
      <c r="E15">
        <v>22.113437000000001</v>
      </c>
      <c r="F15">
        <v>0.95707890184596811</v>
      </c>
      <c r="G15">
        <v>350.01958516631612</v>
      </c>
      <c r="H15">
        <v>15</v>
      </c>
      <c r="I15">
        <v>2792.8090705158011</v>
      </c>
      <c r="J15">
        <v>4300511091.3129377</v>
      </c>
      <c r="K15">
        <v>6812500</v>
      </c>
      <c r="L15">
        <v>2464.95689617486</v>
      </c>
      <c r="M15">
        <v>2464.95689617486</v>
      </c>
      <c r="N15">
        <v>2464.95689617486</v>
      </c>
      <c r="O15">
        <v>7684.7363759318459</v>
      </c>
      <c r="P15">
        <v>16631.76605148007</v>
      </c>
      <c r="Q15">
        <v>11640.009147867609</v>
      </c>
      <c r="R15">
        <v>7747916.666666667</v>
      </c>
      <c r="S15">
        <v>3.5</v>
      </c>
      <c r="U15" s="3" t="s">
        <v>40</v>
      </c>
      <c r="V15" s="3">
        <v>5.7986664634252449E-2</v>
      </c>
      <c r="X15">
        <v>4.2645174575809651E-2</v>
      </c>
      <c r="Y15">
        <f t="shared" si="0"/>
        <v>3.5935691327492983E-2</v>
      </c>
      <c r="Z15" s="4">
        <f t="shared" si="1"/>
        <v>1.6136231833082653</v>
      </c>
      <c r="AB15">
        <v>12</v>
      </c>
      <c r="AC15">
        <v>4.4430393958464258E-2</v>
      </c>
      <c r="AD15">
        <v>3.2604325063585148E-2</v>
      </c>
      <c r="AE15">
        <v>19</v>
      </c>
      <c r="AF15" s="4">
        <f t="shared" si="2"/>
        <v>1.7784960897416682</v>
      </c>
      <c r="AH15">
        <v>12</v>
      </c>
      <c r="AI15">
        <v>4.7374009740792637E-2</v>
      </c>
      <c r="AJ15">
        <v>3.314140682410887E-2</v>
      </c>
      <c r="AK15">
        <v>18</v>
      </c>
    </row>
    <row r="16" spans="1:37" x14ac:dyDescent="0.3">
      <c r="A16">
        <v>8704.8776599588437</v>
      </c>
      <c r="B16">
        <v>2630.5891859881958</v>
      </c>
      <c r="C16">
        <v>15645.86807386834</v>
      </c>
      <c r="D16">
        <v>10107.32507348248</v>
      </c>
      <c r="E16">
        <v>23.50479</v>
      </c>
      <c r="F16">
        <v>0.95575863472934663</v>
      </c>
      <c r="G16">
        <v>350.02248499203591</v>
      </c>
      <c r="H16">
        <v>24.299999999999951</v>
      </c>
      <c r="I16">
        <v>5725.8354620898317</v>
      </c>
      <c r="J16">
        <v>3864414884.7088318</v>
      </c>
      <c r="K16">
        <v>7937500</v>
      </c>
      <c r="L16">
        <v>2464.95689617486</v>
      </c>
      <c r="M16">
        <v>2464.95689617486</v>
      </c>
      <c r="N16">
        <v>2464.95689617486</v>
      </c>
      <c r="O16">
        <v>6347.4783639264142</v>
      </c>
      <c r="P16">
        <v>9301.6085673737743</v>
      </c>
      <c r="Q16">
        <v>16631.76605148007</v>
      </c>
      <c r="R16">
        <v>7747916.666666667</v>
      </c>
      <c r="S16">
        <v>3.5</v>
      </c>
      <c r="U16" s="3" t="s">
        <v>41</v>
      </c>
      <c r="V16" s="3">
        <v>3.3347704521252429E-2</v>
      </c>
      <c r="X16">
        <v>3.3885201800075919E-2</v>
      </c>
      <c r="Y16">
        <f t="shared" si="0"/>
        <v>2.8553949293669154E-2</v>
      </c>
      <c r="Z16" s="4">
        <f t="shared" si="1"/>
        <v>1.1678841402385667</v>
      </c>
      <c r="AB16">
        <v>13</v>
      </c>
      <c r="AC16">
        <v>4.7949536645319313E-2</v>
      </c>
      <c r="AD16">
        <v>3.5186775091253703E-2</v>
      </c>
      <c r="AE16">
        <v>8</v>
      </c>
      <c r="AF16" s="4">
        <f t="shared" si="2"/>
        <v>0.94773404026848695</v>
      </c>
      <c r="AH16">
        <v>13</v>
      </c>
      <c r="AI16">
        <v>4.8250260165417558E-2</v>
      </c>
      <c r="AJ16">
        <v>3.375440479411787E-2</v>
      </c>
      <c r="AK16">
        <v>14</v>
      </c>
    </row>
    <row r="17" spans="1:37" x14ac:dyDescent="0.3">
      <c r="A17">
        <v>7556.8693300553687</v>
      </c>
      <c r="B17">
        <v>2340.076645899554</v>
      </c>
      <c r="C17">
        <v>14277.7081265333</v>
      </c>
      <c r="D17">
        <v>7905.8690866909301</v>
      </c>
      <c r="E17">
        <v>18.395674</v>
      </c>
      <c r="F17">
        <v>0.95866859784534131</v>
      </c>
      <c r="G17">
        <v>350.02151362451991</v>
      </c>
      <c r="H17">
        <v>21.5</v>
      </c>
      <c r="I17">
        <v>3705.725524488912</v>
      </c>
      <c r="J17">
        <v>5903326700.2943592</v>
      </c>
      <c r="K17">
        <v>10750000</v>
      </c>
      <c r="L17">
        <v>2464.95689617486</v>
      </c>
      <c r="M17">
        <v>2464.95689617486</v>
      </c>
      <c r="N17">
        <v>3468.358761720016</v>
      </c>
      <c r="O17">
        <v>16631.76605148007</v>
      </c>
      <c r="P17">
        <v>7684.7363759318459</v>
      </c>
      <c r="Q17">
        <v>11821.15933035946</v>
      </c>
      <c r="R17">
        <v>7747916.666666667</v>
      </c>
      <c r="S17">
        <v>3.5</v>
      </c>
      <c r="U17" s="3" t="s">
        <v>42</v>
      </c>
      <c r="V17" s="3">
        <v>5.5957123776414042E-2</v>
      </c>
      <c r="X17">
        <v>4.6251527172406937E-2</v>
      </c>
      <c r="Y17">
        <f t="shared" si="0"/>
        <v>3.897464649694693E-2</v>
      </c>
      <c r="Z17" s="4">
        <f t="shared" si="1"/>
        <v>1.4357313999191097</v>
      </c>
      <c r="AB17">
        <v>14</v>
      </c>
      <c r="AC17">
        <v>5.0069274031557143E-2</v>
      </c>
      <c r="AD17">
        <v>3.674230050151548E-2</v>
      </c>
      <c r="AE17">
        <v>5</v>
      </c>
      <c r="AF17" s="4">
        <f t="shared" si="2"/>
        <v>1.5229618998436427</v>
      </c>
      <c r="AH17">
        <v>14</v>
      </c>
      <c r="AI17">
        <v>4.6731636179913487E-2</v>
      </c>
      <c r="AJ17">
        <v>3.2692021947662249E-2</v>
      </c>
      <c r="AK17">
        <v>22</v>
      </c>
    </row>
    <row r="18" spans="1:37" x14ac:dyDescent="0.3">
      <c r="A18">
        <v>8092.3681174891417</v>
      </c>
      <c r="B18">
        <v>2210.764154752545</v>
      </c>
      <c r="C18">
        <v>13301.67061965599</v>
      </c>
      <c r="D18">
        <v>7684.7363759318459</v>
      </c>
      <c r="E18">
        <v>15.983243</v>
      </c>
      <c r="F18">
        <v>0.94971733833991012</v>
      </c>
      <c r="G18">
        <v>350.01928518297387</v>
      </c>
      <c r="H18">
        <v>18.899999999999981</v>
      </c>
      <c r="I18">
        <v>2798.3840275167609</v>
      </c>
      <c r="J18">
        <v>4822942156.8294868</v>
      </c>
      <c r="K18">
        <v>7437500</v>
      </c>
      <c r="L18">
        <v>2464.95689617486</v>
      </c>
      <c r="M18">
        <v>2464.95689617486</v>
      </c>
      <c r="N18">
        <v>3818.376618407357</v>
      </c>
      <c r="O18">
        <v>7905.8690866909301</v>
      </c>
      <c r="P18">
        <v>11821.15933035946</v>
      </c>
      <c r="Q18">
        <v>16631.76605148007</v>
      </c>
      <c r="R18">
        <v>7747916.666666667</v>
      </c>
      <c r="S18">
        <v>3.5</v>
      </c>
      <c r="U18" s="3" t="s">
        <v>43</v>
      </c>
      <c r="V18" s="3">
        <v>2.810474207268018E-2</v>
      </c>
      <c r="X18">
        <v>4.1545785940792487E-2</v>
      </c>
      <c r="Y18">
        <f t="shared" si="0"/>
        <v>3.500927254670691E-2</v>
      </c>
      <c r="Z18" s="4">
        <f t="shared" si="1"/>
        <v>0.80277995023132254</v>
      </c>
      <c r="AB18">
        <v>15</v>
      </c>
      <c r="AC18">
        <v>4.6420402475632727E-2</v>
      </c>
      <c r="AD18">
        <v>3.4064651628182341E-2</v>
      </c>
      <c r="AE18">
        <v>13</v>
      </c>
      <c r="AF18" s="4">
        <f t="shared" si="2"/>
        <v>0.82504122981925898</v>
      </c>
      <c r="AH18">
        <v>15</v>
      </c>
      <c r="AI18">
        <v>4.3138680521792587E-2</v>
      </c>
      <c r="AJ18">
        <v>3.017850017025113E-2</v>
      </c>
      <c r="AK18">
        <v>30</v>
      </c>
    </row>
    <row r="19" spans="1:37" x14ac:dyDescent="0.3">
      <c r="A19">
        <v>6073.6420878885201</v>
      </c>
      <c r="B19">
        <v>1802.129442115463</v>
      </c>
      <c r="C19">
        <v>11131.890789028001</v>
      </c>
      <c r="D19">
        <v>6619.1188560127803</v>
      </c>
      <c r="E19">
        <v>18.519712999999999</v>
      </c>
      <c r="F19">
        <v>0.94856091992354308</v>
      </c>
      <c r="G19">
        <v>350.01808524703398</v>
      </c>
      <c r="H19">
        <v>17.899999999999981</v>
      </c>
      <c r="I19">
        <v>4049.3319809289628</v>
      </c>
      <c r="J19">
        <v>5350798312.6925917</v>
      </c>
      <c r="K19">
        <v>11437500</v>
      </c>
      <c r="L19">
        <v>2464.95689617486</v>
      </c>
      <c r="M19">
        <v>2464.95689617486</v>
      </c>
      <c r="N19">
        <v>3468.358761720016</v>
      </c>
      <c r="O19">
        <v>8347.3537678126286</v>
      </c>
      <c r="P19">
        <v>6347.4783639264142</v>
      </c>
      <c r="Q19">
        <v>5896.3634633468791</v>
      </c>
      <c r="R19">
        <v>7747916.666666667</v>
      </c>
      <c r="S19">
        <v>3.5</v>
      </c>
      <c r="U19" s="3" t="s">
        <v>44</v>
      </c>
      <c r="V19" s="3">
        <v>3.5581847136814723E-3</v>
      </c>
      <c r="X19">
        <v>4.5343315538277092E-2</v>
      </c>
      <c r="Y19">
        <f t="shared" si="0"/>
        <v>3.8209326310811698E-2</v>
      </c>
      <c r="Z19" s="4">
        <f t="shared" si="1"/>
        <v>9.3123461134530641E-2</v>
      </c>
      <c r="AB19">
        <v>16</v>
      </c>
      <c r="AC19">
        <v>4.6232227643486112E-2</v>
      </c>
      <c r="AD19">
        <v>3.392656342212616E-2</v>
      </c>
      <c r="AE19">
        <v>14</v>
      </c>
      <c r="AF19" s="4">
        <f t="shared" si="2"/>
        <v>0.1048790197052762</v>
      </c>
      <c r="AH19">
        <v>16</v>
      </c>
      <c r="AI19">
        <v>4.5376679047734569E-2</v>
      </c>
      <c r="AJ19">
        <v>3.1744135421010421E-2</v>
      </c>
      <c r="AK19">
        <v>24</v>
      </c>
    </row>
    <row r="20" spans="1:37" x14ac:dyDescent="0.3">
      <c r="A20">
        <v>5724.0275553443407</v>
      </c>
      <c r="B20">
        <v>2122.2404655437372</v>
      </c>
      <c r="C20">
        <v>12115.059586805841</v>
      </c>
      <c r="D20">
        <v>5896.3634633468791</v>
      </c>
      <c r="E20">
        <v>17.631974</v>
      </c>
      <c r="F20">
        <v>0.93960483380930571</v>
      </c>
      <c r="G20">
        <v>350.02065653329657</v>
      </c>
      <c r="H20">
        <v>31.200000000000049</v>
      </c>
      <c r="I20">
        <v>1422.467683565206</v>
      </c>
      <c r="J20">
        <v>4350211377.0125914</v>
      </c>
      <c r="K20">
        <v>7812500</v>
      </c>
      <c r="L20">
        <v>2464.95689617486</v>
      </c>
      <c r="M20">
        <v>3468.358761720016</v>
      </c>
      <c r="N20">
        <v>5706.4010111452908</v>
      </c>
      <c r="O20">
        <v>8347.3537678126286</v>
      </c>
      <c r="P20">
        <v>6619.1188560127803</v>
      </c>
      <c r="Q20">
        <v>6347.4783639264142</v>
      </c>
      <c r="R20">
        <v>7747916.666666667</v>
      </c>
      <c r="S20">
        <v>3.5</v>
      </c>
      <c r="U20" s="3" t="s">
        <v>45</v>
      </c>
      <c r="V20" s="3">
        <v>4.0423066518086692E-2</v>
      </c>
      <c r="X20">
        <v>4.0167597570218552E-2</v>
      </c>
      <c r="Y20">
        <f t="shared" si="0"/>
        <v>3.3847918363760762E-2</v>
      </c>
      <c r="Z20" s="4">
        <f t="shared" si="1"/>
        <v>1.1942556137031342</v>
      </c>
      <c r="AB20">
        <v>17</v>
      </c>
      <c r="AC20">
        <v>4.1941625939216458E-2</v>
      </c>
      <c r="AD20">
        <v>3.077799416084168E-2</v>
      </c>
      <c r="AE20">
        <v>24</v>
      </c>
      <c r="AF20" s="4">
        <f t="shared" si="2"/>
        <v>1.3133755990348543</v>
      </c>
      <c r="AH20">
        <v>17</v>
      </c>
      <c r="AI20">
        <v>4.9196453389839689E-2</v>
      </c>
      <c r="AJ20">
        <v>3.4416332605514147E-2</v>
      </c>
      <c r="AK20">
        <v>8</v>
      </c>
    </row>
    <row r="21" spans="1:37" x14ac:dyDescent="0.3">
      <c r="A21">
        <v>8148.8127514740581</v>
      </c>
      <c r="B21">
        <v>1826.9311896750839</v>
      </c>
      <c r="C21">
        <v>11101.91109567238</v>
      </c>
      <c r="D21">
        <v>8347.3537678126286</v>
      </c>
      <c r="E21">
        <v>23.284230000000001</v>
      </c>
      <c r="F21">
        <v>0.92691624331146005</v>
      </c>
      <c r="G21">
        <v>350.01798525218669</v>
      </c>
      <c r="H21">
        <v>28.299999999999951</v>
      </c>
      <c r="I21">
        <v>2705.647962422594</v>
      </c>
      <c r="J21">
        <v>5608089337.3361111</v>
      </c>
      <c r="K21">
        <v>10125000</v>
      </c>
      <c r="L21">
        <v>2464.95689617486</v>
      </c>
      <c r="M21">
        <v>2464.95689617486</v>
      </c>
      <c r="N21">
        <v>3468.358761720016</v>
      </c>
      <c r="O21">
        <v>5896.3634633468791</v>
      </c>
      <c r="P21">
        <v>6619.1188560127803</v>
      </c>
      <c r="Q21">
        <v>6347.4783639264142</v>
      </c>
      <c r="R21">
        <v>7747916.666666667</v>
      </c>
      <c r="S21">
        <v>3.5</v>
      </c>
      <c r="U21" s="3" t="s">
        <v>46</v>
      </c>
      <c r="V21" s="3">
        <v>2.5217188414767059E-2</v>
      </c>
      <c r="X21">
        <v>5.7882021633421363E-2</v>
      </c>
      <c r="Y21">
        <f t="shared" si="0"/>
        <v>4.8775283101075456E-2</v>
      </c>
      <c r="Z21" s="4">
        <f t="shared" si="1"/>
        <v>0.51700752535890537</v>
      </c>
      <c r="AB21">
        <v>18</v>
      </c>
      <c r="AC21">
        <v>4.9131346517242491E-2</v>
      </c>
      <c r="AD21">
        <v>3.6054021806724172E-2</v>
      </c>
      <c r="AE21">
        <v>7</v>
      </c>
      <c r="AF21" s="4">
        <f t="shared" si="2"/>
        <v>0.69942789045698051</v>
      </c>
      <c r="AH21">
        <v>18</v>
      </c>
      <c r="AI21">
        <v>5.4179071111278183E-2</v>
      </c>
      <c r="AJ21">
        <v>3.7902019416884418E-2</v>
      </c>
      <c r="AK21">
        <v>1</v>
      </c>
    </row>
    <row r="22" spans="1:37" x14ac:dyDescent="0.3">
      <c r="A22">
        <v>5391.5202854436666</v>
      </c>
      <c r="B22">
        <v>1781.0870426802569</v>
      </c>
      <c r="C22">
        <v>11238.443348619759</v>
      </c>
      <c r="D22">
        <v>5058.7890083859993</v>
      </c>
      <c r="E22">
        <v>15.314016000000001</v>
      </c>
      <c r="F22">
        <v>1.0045876927384689</v>
      </c>
      <c r="G22">
        <v>350.01808524703398</v>
      </c>
      <c r="H22">
        <v>39</v>
      </c>
      <c r="I22">
        <v>3003.7011996759702</v>
      </c>
      <c r="J22">
        <v>4578679813.4793987</v>
      </c>
      <c r="K22">
        <v>7187500</v>
      </c>
      <c r="L22">
        <v>2464.95689617486</v>
      </c>
      <c r="M22">
        <v>2464.95689617486</v>
      </c>
      <c r="N22">
        <v>3818.376618407357</v>
      </c>
      <c r="O22">
        <v>4944.7514145285004</v>
      </c>
      <c r="P22">
        <v>10903.44028995744</v>
      </c>
      <c r="Q22">
        <v>7822.8545274447242</v>
      </c>
      <c r="R22">
        <v>7747916.666666667</v>
      </c>
      <c r="S22">
        <v>3.5</v>
      </c>
      <c r="U22" s="3" t="s">
        <v>47</v>
      </c>
      <c r="V22" s="3">
        <v>4.8894191022652626E-2</v>
      </c>
      <c r="X22">
        <v>4.8326332275644257E-2</v>
      </c>
      <c r="Y22">
        <f t="shared" si="0"/>
        <v>4.0723016775560755E-2</v>
      </c>
      <c r="Z22" s="4">
        <f t="shared" si="1"/>
        <v>1.2006524784773722</v>
      </c>
      <c r="AB22">
        <v>19</v>
      </c>
      <c r="AC22">
        <v>5.7692685746587813E-2</v>
      </c>
      <c r="AD22">
        <v>4.2336583412505777E-2</v>
      </c>
      <c r="AE22">
        <v>1</v>
      </c>
      <c r="AF22" s="4">
        <f t="shared" si="2"/>
        <v>1.1548922251531946</v>
      </c>
      <c r="AH22">
        <v>19</v>
      </c>
      <c r="AI22">
        <v>4.7510004767939762E-2</v>
      </c>
      <c r="AJ22">
        <v>3.323654478151207E-2</v>
      </c>
      <c r="AK22">
        <v>17</v>
      </c>
    </row>
    <row r="23" spans="1:37" x14ac:dyDescent="0.3">
      <c r="A23">
        <v>4915.2856446941196</v>
      </c>
      <c r="B23">
        <v>1135.7002328899241</v>
      </c>
      <c r="C23">
        <v>6316.7720271857488</v>
      </c>
      <c r="D23">
        <v>4944.7514145285004</v>
      </c>
      <c r="E23">
        <v>21.324114999999999</v>
      </c>
      <c r="F23">
        <v>1.0120978057002601</v>
      </c>
      <c r="G23">
        <v>350.0247705520282</v>
      </c>
      <c r="H23">
        <v>30.200000000000049</v>
      </c>
      <c r="I23">
        <v>3723.878275590303</v>
      </c>
      <c r="J23">
        <v>4039104145.291193</v>
      </c>
      <c r="K23">
        <v>7687500</v>
      </c>
      <c r="L23">
        <v>2464.95689617486</v>
      </c>
      <c r="M23">
        <v>2464.95689617486</v>
      </c>
      <c r="N23">
        <v>2464.95689617486</v>
      </c>
      <c r="O23">
        <v>2519.30407538289</v>
      </c>
      <c r="P23">
        <v>7822.8545274447242</v>
      </c>
      <c r="Q23">
        <v>5058.7890083859993</v>
      </c>
      <c r="R23">
        <v>7747916.666666667</v>
      </c>
      <c r="S23">
        <v>3.5</v>
      </c>
      <c r="U23" s="3" t="s">
        <v>48</v>
      </c>
      <c r="V23" s="3">
        <v>6.0266927526954832E-2</v>
      </c>
      <c r="X23">
        <v>3.2199199163254429E-2</v>
      </c>
      <c r="Y23">
        <f t="shared" si="0"/>
        <v>2.713321011422341E-2</v>
      </c>
      <c r="Z23" s="4">
        <f t="shared" si="1"/>
        <v>2.2211499219313717</v>
      </c>
      <c r="AB23">
        <v>20</v>
      </c>
      <c r="AC23">
        <v>4.4974766904488213E-2</v>
      </c>
      <c r="AD23">
        <v>3.3003801883542648E-2</v>
      </c>
      <c r="AE23">
        <v>16</v>
      </c>
      <c r="AF23" s="4">
        <f t="shared" si="2"/>
        <v>1.8260601533003065</v>
      </c>
      <c r="AH23">
        <v>20</v>
      </c>
      <c r="AI23">
        <v>4.7586325539967327E-2</v>
      </c>
      <c r="AJ23">
        <v>3.3289936457005349E-2</v>
      </c>
      <c r="AK23">
        <v>16</v>
      </c>
    </row>
    <row r="24" spans="1:37" x14ac:dyDescent="0.3">
      <c r="A24">
        <v>2412.7485598099829</v>
      </c>
      <c r="B24">
        <v>664.59423012470995</v>
      </c>
      <c r="C24">
        <v>4048.0042295889002</v>
      </c>
      <c r="D24">
        <v>2519.30407538289</v>
      </c>
      <c r="E24">
        <v>19.263383999999999</v>
      </c>
      <c r="F24">
        <v>1.0021714772440811</v>
      </c>
      <c r="G24">
        <v>350.02248499203591</v>
      </c>
      <c r="H24">
        <v>31.200000000000049</v>
      </c>
      <c r="I24">
        <v>3933.1322667969589</v>
      </c>
      <c r="J24">
        <v>3856928467.994473</v>
      </c>
      <c r="K24">
        <v>8562500</v>
      </c>
      <c r="L24">
        <v>2464.95689617486</v>
      </c>
      <c r="M24">
        <v>2464.95689617486</v>
      </c>
      <c r="N24">
        <v>2464.95689617486</v>
      </c>
      <c r="O24">
        <v>2233.1667411011758</v>
      </c>
      <c r="P24">
        <v>4944.7514145285004</v>
      </c>
      <c r="Q24">
        <v>4242.1839058972782</v>
      </c>
      <c r="R24">
        <v>7747916.666666667</v>
      </c>
      <c r="S24">
        <v>3.5</v>
      </c>
      <c r="U24" s="3" t="s">
        <v>49</v>
      </c>
      <c r="V24" s="3">
        <v>1.9353750686524174E-2</v>
      </c>
      <c r="X24">
        <v>3.7104165591161448E-2</v>
      </c>
      <c r="Y24">
        <f t="shared" si="0"/>
        <v>3.1266464609679676E-2</v>
      </c>
      <c r="Z24" s="4">
        <f t="shared" si="1"/>
        <v>0.61899389419718764</v>
      </c>
      <c r="AB24">
        <v>21</v>
      </c>
      <c r="AC24">
        <v>4.5895618008216843E-2</v>
      </c>
      <c r="AD24">
        <v>3.3679549407843193E-2</v>
      </c>
      <c r="AE24">
        <v>15</v>
      </c>
      <c r="AF24" s="4">
        <f t="shared" si="2"/>
        <v>0.57464399099167074</v>
      </c>
      <c r="AH24">
        <v>21</v>
      </c>
      <c r="AI24">
        <v>4.9276131838738017E-2</v>
      </c>
      <c r="AJ24">
        <v>3.4472073208948448E-2</v>
      </c>
      <c r="AK24">
        <v>7</v>
      </c>
    </row>
    <row r="25" spans="1:37" x14ac:dyDescent="0.3">
      <c r="A25">
        <v>2010.9454367611411</v>
      </c>
      <c r="B25">
        <v>842.80993762996195</v>
      </c>
      <c r="C25">
        <v>5236.2980618574693</v>
      </c>
      <c r="D25">
        <v>2233.1667411011758</v>
      </c>
      <c r="E25">
        <v>16.876877</v>
      </c>
      <c r="F25">
        <v>0.98767396361305471</v>
      </c>
      <c r="G25">
        <v>350.03436974102988</v>
      </c>
      <c r="H25">
        <v>16.299999999999951</v>
      </c>
      <c r="I25">
        <v>3978.178858017789</v>
      </c>
      <c r="J25">
        <v>3423721390.7951188</v>
      </c>
      <c r="K25">
        <v>8312500</v>
      </c>
      <c r="L25">
        <v>2464.95689617486</v>
      </c>
      <c r="M25">
        <v>2464.95689617486</v>
      </c>
      <c r="N25">
        <v>2464.95689617486</v>
      </c>
      <c r="O25">
        <v>2613.6543904545638</v>
      </c>
      <c r="P25">
        <v>2238.3947392111199</v>
      </c>
      <c r="Q25">
        <v>2519.30407538289</v>
      </c>
      <c r="R25">
        <v>7747916.666666667</v>
      </c>
      <c r="S25">
        <v>3.5</v>
      </c>
      <c r="U25" s="3" t="s">
        <v>50</v>
      </c>
      <c r="V25" s="3">
        <v>3.9324538483759865E-2</v>
      </c>
      <c r="X25">
        <v>4.0017619510092979E-2</v>
      </c>
      <c r="Y25">
        <f t="shared" si="0"/>
        <v>3.3721536766588775E-2</v>
      </c>
      <c r="Z25" s="4">
        <f t="shared" si="1"/>
        <v>1.1661549933490141</v>
      </c>
      <c r="AB25">
        <v>22</v>
      </c>
      <c r="AC25">
        <v>4.4361298758303747E-2</v>
      </c>
      <c r="AD25">
        <v>3.2553620980959347E-2</v>
      </c>
      <c r="AE25">
        <v>20</v>
      </c>
      <c r="AF25" s="4">
        <f t="shared" si="2"/>
        <v>1.2079927608286904</v>
      </c>
      <c r="AH25">
        <v>22</v>
      </c>
      <c r="AI25">
        <v>5.0862759146170333E-2</v>
      </c>
      <c r="AJ25">
        <v>3.5582029097452783E-2</v>
      </c>
      <c r="AK25">
        <v>2</v>
      </c>
    </row>
    <row r="26" spans="1:37" x14ac:dyDescent="0.3">
      <c r="A26">
        <v>5790.0135151025643</v>
      </c>
      <c r="B26">
        <v>2113.9746872580722</v>
      </c>
      <c r="C26">
        <v>12494.63576942578</v>
      </c>
      <c r="D26">
        <v>6347.4783639264142</v>
      </c>
      <c r="E26">
        <v>16.081061999999999</v>
      </c>
      <c r="F26">
        <v>0.96058885911888159</v>
      </c>
      <c r="G26">
        <v>350.01798525218669</v>
      </c>
      <c r="H26">
        <v>24.399999999999981</v>
      </c>
      <c r="I26">
        <v>3271.5937525031118</v>
      </c>
      <c r="J26">
        <v>5005173358.1339865</v>
      </c>
      <c r="K26">
        <v>10062500</v>
      </c>
      <c r="L26">
        <v>2464.95689617486</v>
      </c>
      <c r="M26">
        <v>2464.95689617486</v>
      </c>
      <c r="N26">
        <v>3468.358761720016</v>
      </c>
      <c r="O26">
        <v>6619.1188560127803</v>
      </c>
      <c r="P26">
        <v>10107.32507348248</v>
      </c>
      <c r="Q26">
        <v>8347.3537678126286</v>
      </c>
      <c r="R26">
        <v>7747916.666666667</v>
      </c>
      <c r="S26">
        <v>3.5</v>
      </c>
      <c r="U26" s="3" t="s">
        <v>51</v>
      </c>
      <c r="V26" s="3">
        <v>3.281731894681017E-2</v>
      </c>
      <c r="X26">
        <v>3.8298278539069447E-2</v>
      </c>
      <c r="Y26">
        <f t="shared" si="0"/>
        <v>3.2272704465255875E-2</v>
      </c>
      <c r="Z26" s="4">
        <f t="shared" si="1"/>
        <v>1.0168753902276959</v>
      </c>
      <c r="AB26">
        <v>23</v>
      </c>
      <c r="AC26">
        <v>4.3186110793612897E-2</v>
      </c>
      <c r="AD26">
        <v>3.1691233615062632E-2</v>
      </c>
      <c r="AE26">
        <v>22</v>
      </c>
      <c r="AF26" s="4">
        <f t="shared" si="2"/>
        <v>1.035533022962297</v>
      </c>
      <c r="AH26">
        <v>23</v>
      </c>
      <c r="AI26">
        <v>4.3177141129547181E-2</v>
      </c>
      <c r="AJ26">
        <v>3.0205406033936118E-2</v>
      </c>
      <c r="AK26">
        <v>29</v>
      </c>
    </row>
    <row r="27" spans="1:37" x14ac:dyDescent="0.3">
      <c r="A27">
        <v>3883.5796858783901</v>
      </c>
      <c r="B27">
        <v>644.04548383960594</v>
      </c>
      <c r="C27">
        <v>3821.9147013152251</v>
      </c>
      <c r="D27">
        <v>4242.1839058972782</v>
      </c>
      <c r="E27">
        <v>33.788744000000001</v>
      </c>
      <c r="F27">
        <v>1.0021402985562291</v>
      </c>
      <c r="G27">
        <v>350.01837094644048</v>
      </c>
      <c r="H27">
        <v>19.200000000000049</v>
      </c>
      <c r="I27">
        <v>5627.8569245378594</v>
      </c>
      <c r="J27">
        <v>3764768105.6511769</v>
      </c>
      <c r="K27">
        <v>7125000</v>
      </c>
      <c r="L27">
        <v>2464.95689617486</v>
      </c>
      <c r="M27">
        <v>2464.95689617486</v>
      </c>
      <c r="N27">
        <v>2464.95689617486</v>
      </c>
      <c r="O27">
        <v>2519.30407538289</v>
      </c>
      <c r="P27">
        <v>2238.3947392111199</v>
      </c>
      <c r="Q27">
        <v>6403.6695715015794</v>
      </c>
      <c r="R27">
        <v>7747916.666666667</v>
      </c>
      <c r="S27">
        <v>3.5</v>
      </c>
      <c r="U27" s="3" t="s">
        <v>52</v>
      </c>
      <c r="V27" s="3">
        <v>6.5223401208508438E-3</v>
      </c>
      <c r="X27">
        <v>3.2568447777447287E-2</v>
      </c>
      <c r="Y27">
        <f t="shared" si="0"/>
        <v>2.7444363822813594E-2</v>
      </c>
      <c r="Z27" s="4">
        <f t="shared" si="1"/>
        <v>0.23765681591165314</v>
      </c>
      <c r="AB27">
        <v>24</v>
      </c>
      <c r="AC27">
        <v>3.5434397257631638E-2</v>
      </c>
      <c r="AD27">
        <v>2.6002799068135161E-2</v>
      </c>
      <c r="AE27">
        <v>29</v>
      </c>
      <c r="AF27" s="4">
        <f t="shared" si="2"/>
        <v>0.25083223170553098</v>
      </c>
      <c r="AH27">
        <v>24</v>
      </c>
      <c r="AI27">
        <v>5.0747056676588187E-2</v>
      </c>
      <c r="AJ27">
        <v>3.5501087192050293E-2</v>
      </c>
      <c r="AK27">
        <v>3</v>
      </c>
    </row>
    <row r="28" spans="1:37" x14ac:dyDescent="0.3">
      <c r="A28">
        <v>5728.1130175887256</v>
      </c>
      <c r="B28">
        <v>1726.6617591140471</v>
      </c>
      <c r="C28">
        <v>10111.32466384456</v>
      </c>
      <c r="D28">
        <v>6403.6695715015794</v>
      </c>
      <c r="E28">
        <v>25.332196</v>
      </c>
      <c r="F28">
        <v>0.99377843121062215</v>
      </c>
      <c r="G28">
        <v>350.01855665092961</v>
      </c>
      <c r="H28">
        <v>19.399999999999981</v>
      </c>
      <c r="I28">
        <v>2938.5744610682059</v>
      </c>
      <c r="J28">
        <v>4869192678.2704344</v>
      </c>
      <c r="K28">
        <v>9187500</v>
      </c>
      <c r="L28">
        <v>2464.95689617486</v>
      </c>
      <c r="M28">
        <v>2464.95689617486</v>
      </c>
      <c r="N28">
        <v>2464.95689617486</v>
      </c>
      <c r="O28">
        <v>4242.1839058972782</v>
      </c>
      <c r="P28">
        <v>3807.7971121525702</v>
      </c>
      <c r="Q28">
        <v>9145.7304484604028</v>
      </c>
      <c r="R28">
        <v>7747916.666666667</v>
      </c>
      <c r="S28">
        <v>3.5</v>
      </c>
      <c r="U28" s="3" t="s">
        <v>53</v>
      </c>
      <c r="V28" s="3">
        <v>1.9201859486065315E-2</v>
      </c>
      <c r="X28">
        <v>4.0376761252546363E-2</v>
      </c>
      <c r="Y28">
        <f t="shared" si="0"/>
        <v>3.4024173745520123E-2</v>
      </c>
      <c r="Z28" s="4">
        <f t="shared" si="1"/>
        <v>0.56435931786862492</v>
      </c>
      <c r="AB28">
        <v>25</v>
      </c>
      <c r="AC28">
        <v>5.4455089615657933E-2</v>
      </c>
      <c r="AD28">
        <v>3.9960740497943147E-2</v>
      </c>
      <c r="AE28">
        <v>2</v>
      </c>
      <c r="AF28" s="4">
        <f t="shared" si="2"/>
        <v>0.48051810969453057</v>
      </c>
      <c r="AH28">
        <v>25</v>
      </c>
      <c r="AI28">
        <v>4.6870657164546969E-2</v>
      </c>
      <c r="AJ28">
        <v>3.2789276772280961E-2</v>
      </c>
      <c r="AK28">
        <v>20</v>
      </c>
    </row>
    <row r="29" spans="1:37" x14ac:dyDescent="0.3">
      <c r="A29">
        <v>7310.4800825896473</v>
      </c>
      <c r="B29">
        <v>932.32344630625016</v>
      </c>
      <c r="C29">
        <v>5892.1977007428759</v>
      </c>
      <c r="D29">
        <v>7822.8545274447242</v>
      </c>
      <c r="E29">
        <v>39.513908000000001</v>
      </c>
      <c r="F29">
        <v>1.0040083608029859</v>
      </c>
      <c r="G29">
        <v>350.01821381179582</v>
      </c>
      <c r="H29">
        <v>25</v>
      </c>
      <c r="I29">
        <v>5593.1243285410474</v>
      </c>
      <c r="J29">
        <v>4762928796.304369</v>
      </c>
      <c r="K29">
        <v>6812500</v>
      </c>
      <c r="L29">
        <v>2464.95689617486</v>
      </c>
      <c r="M29">
        <v>2464.95689617486</v>
      </c>
      <c r="N29">
        <v>2464.95689617486</v>
      </c>
      <c r="O29">
        <v>4944.7514145285004</v>
      </c>
      <c r="P29">
        <v>4242.1839058972782</v>
      </c>
      <c r="Q29">
        <v>9145.7304484604028</v>
      </c>
      <c r="R29">
        <v>7747916.666666667</v>
      </c>
      <c r="S29">
        <v>3.5</v>
      </c>
      <c r="U29" s="3" t="s">
        <v>54</v>
      </c>
      <c r="V29" s="3">
        <v>4.17697096962844E-2</v>
      </c>
      <c r="X29">
        <v>2.684649406603384E-2</v>
      </c>
      <c r="Y29">
        <f t="shared" si="0"/>
        <v>2.2622660912487248E-2</v>
      </c>
      <c r="Z29" s="4">
        <f t="shared" si="1"/>
        <v>1.8463659008931337</v>
      </c>
      <c r="AB29">
        <v>26</v>
      </c>
      <c r="AC29">
        <v>4.9336181575199589E-2</v>
      </c>
      <c r="AD29">
        <v>3.6204335774687083E-2</v>
      </c>
      <c r="AE29">
        <v>6</v>
      </c>
      <c r="AF29" s="4">
        <f t="shared" si="2"/>
        <v>1.1537211994782253</v>
      </c>
      <c r="AH29">
        <v>26</v>
      </c>
      <c r="AI29">
        <v>4.6240945587484823E-2</v>
      </c>
      <c r="AJ29">
        <v>3.2348749832056663E-2</v>
      </c>
      <c r="AK29">
        <v>23</v>
      </c>
    </row>
    <row r="30" spans="1:37" x14ac:dyDescent="0.3">
      <c r="A30">
        <v>8319.9669728648587</v>
      </c>
      <c r="B30">
        <v>2330.5265084831599</v>
      </c>
      <c r="C30">
        <v>13525.182063847709</v>
      </c>
      <c r="D30">
        <v>9145.7304484604028</v>
      </c>
      <c r="E30">
        <v>27.903236</v>
      </c>
      <c r="F30">
        <v>0.99116321132072283</v>
      </c>
      <c r="G30">
        <v>350.02151362451991</v>
      </c>
      <c r="H30">
        <v>14.5</v>
      </c>
      <c r="I30">
        <v>2934.0011872144091</v>
      </c>
      <c r="J30">
        <v>5124975982.9964619</v>
      </c>
      <c r="K30">
        <v>8750000</v>
      </c>
      <c r="L30">
        <v>2464.95689617486</v>
      </c>
      <c r="M30">
        <v>2464.95689617486</v>
      </c>
      <c r="N30">
        <v>2464.95689617486</v>
      </c>
      <c r="O30">
        <v>6403.6695715015794</v>
      </c>
      <c r="P30">
        <v>7822.8545274447242</v>
      </c>
      <c r="Q30">
        <v>5290.8910608252208</v>
      </c>
      <c r="R30">
        <v>7747916.666666667</v>
      </c>
      <c r="S30">
        <v>3.5</v>
      </c>
      <c r="U30" s="3" t="s">
        <v>55</v>
      </c>
      <c r="V30" s="3">
        <v>4.2935032785472421E-2</v>
      </c>
      <c r="X30">
        <v>4.9817278254926572E-2</v>
      </c>
      <c r="Y30">
        <f t="shared" si="0"/>
        <v>4.1979388100813766E-2</v>
      </c>
      <c r="Z30" s="4">
        <f t="shared" si="1"/>
        <v>1.0227646168248967</v>
      </c>
      <c r="AB30">
        <v>27</v>
      </c>
      <c r="AC30">
        <v>4.7794012119993567E-2</v>
      </c>
      <c r="AD30">
        <v>3.5072646637118877E-2</v>
      </c>
      <c r="AE30">
        <v>10</v>
      </c>
      <c r="AF30" s="4">
        <f t="shared" si="2"/>
        <v>1.2241743039726134</v>
      </c>
      <c r="AH30">
        <v>27</v>
      </c>
      <c r="AI30">
        <v>4.9179892751155307E-2</v>
      </c>
      <c r="AJ30">
        <v>3.4404747289706827E-2</v>
      </c>
      <c r="AK30">
        <v>9</v>
      </c>
    </row>
    <row r="31" spans="1:37" x14ac:dyDescent="0.3">
      <c r="A31">
        <v>10099.59613472485</v>
      </c>
      <c r="B31">
        <v>2507.1875211928318</v>
      </c>
      <c r="C31">
        <v>14125.72267699803</v>
      </c>
      <c r="D31">
        <v>10903.44028995744</v>
      </c>
      <c r="E31">
        <v>26.167707</v>
      </c>
      <c r="F31">
        <v>1.0067765968183611</v>
      </c>
      <c r="G31">
        <v>350.01837094644048</v>
      </c>
      <c r="H31">
        <v>20.799999999999951</v>
      </c>
      <c r="I31">
        <v>3691.5333999756558</v>
      </c>
      <c r="J31">
        <v>5941961488.8658247</v>
      </c>
      <c r="K31">
        <v>9562500</v>
      </c>
      <c r="L31">
        <v>2464.95689617486</v>
      </c>
      <c r="M31">
        <v>2464.95689617486</v>
      </c>
      <c r="N31">
        <v>2464.95689617486</v>
      </c>
      <c r="O31">
        <v>5058.7890083859993</v>
      </c>
      <c r="P31">
        <v>7822.8545274447242</v>
      </c>
      <c r="Q31">
        <v>5290.8910608252208</v>
      </c>
      <c r="R31">
        <v>7747916.666666667</v>
      </c>
      <c r="S31">
        <v>3.5</v>
      </c>
      <c r="U31" s="3" t="s">
        <v>56</v>
      </c>
      <c r="V31" s="3">
        <v>3.282601358348352E-2</v>
      </c>
      <c r="X31">
        <v>5.5361763419596248E-2</v>
      </c>
      <c r="Y31">
        <f t="shared" si="0"/>
        <v>4.6651544081632627E-2</v>
      </c>
      <c r="Z31" s="4">
        <f t="shared" si="1"/>
        <v>0.70364259596731304</v>
      </c>
      <c r="AB31">
        <v>28</v>
      </c>
      <c r="AC31">
        <v>5.2230343222618103E-2</v>
      </c>
      <c r="AD31">
        <v>3.8328156401333073E-2</v>
      </c>
      <c r="AE31">
        <v>4</v>
      </c>
      <c r="AF31" s="4">
        <f t="shared" si="2"/>
        <v>0.85644645257035668</v>
      </c>
      <c r="AH31">
        <v>28</v>
      </c>
      <c r="AI31">
        <v>4.9529107754480613E-2</v>
      </c>
      <c r="AJ31">
        <v>3.4649047414556107E-2</v>
      </c>
      <c r="AK31">
        <v>5</v>
      </c>
    </row>
    <row r="32" spans="1:37" x14ac:dyDescent="0.3">
      <c r="A32">
        <v>5293.2977064035731</v>
      </c>
      <c r="B32">
        <v>1914.5906153165749</v>
      </c>
      <c r="C32">
        <v>11332.202566661859</v>
      </c>
      <c r="D32">
        <v>5290.8910608252208</v>
      </c>
      <c r="E32">
        <v>16.989720999999999</v>
      </c>
      <c r="F32">
        <v>0.99842646032857152</v>
      </c>
      <c r="G32">
        <v>350.01808524703398</v>
      </c>
      <c r="H32">
        <v>29.5</v>
      </c>
      <c r="I32">
        <v>2000.1416912151351</v>
      </c>
      <c r="J32">
        <v>3852407442.1246362</v>
      </c>
      <c r="K32">
        <v>6375000</v>
      </c>
      <c r="L32">
        <v>2464.95689617486</v>
      </c>
      <c r="M32">
        <v>2464.95689617486</v>
      </c>
      <c r="N32">
        <v>3468.358761720016</v>
      </c>
      <c r="O32">
        <v>10903.44028995744</v>
      </c>
      <c r="P32">
        <v>9145.7304484604028</v>
      </c>
      <c r="Q32">
        <v>7822.8545274447242</v>
      </c>
      <c r="R32">
        <v>7747916.666666667</v>
      </c>
      <c r="S32">
        <v>3.5</v>
      </c>
      <c r="U32" s="3" t="s">
        <v>57</v>
      </c>
      <c r="V32" s="3">
        <v>2.4391186083590838E-2</v>
      </c>
      <c r="X32">
        <v>3.8413215914203769E-2</v>
      </c>
      <c r="Y32">
        <f t="shared" si="0"/>
        <v>3.2369558425308892E-2</v>
      </c>
      <c r="Z32" s="4">
        <f t="shared" si="1"/>
        <v>0.75352236082775914</v>
      </c>
      <c r="AB32">
        <v>29</v>
      </c>
      <c r="AC32">
        <v>4.7873231815174222E-2</v>
      </c>
      <c r="AD32">
        <v>3.5130780370876073E-2</v>
      </c>
      <c r="AE32">
        <v>9</v>
      </c>
      <c r="AF32" s="4">
        <f t="shared" si="2"/>
        <v>0.69429673426245564</v>
      </c>
      <c r="AH32">
        <v>29</v>
      </c>
      <c r="AI32">
        <v>4.4588233206894763E-2</v>
      </c>
      <c r="AJ32">
        <v>3.119256284961483E-2</v>
      </c>
      <c r="AK32">
        <v>26</v>
      </c>
    </row>
    <row r="33" spans="1:37" x14ac:dyDescent="0.3">
      <c r="A33">
        <v>3492.6110746105041</v>
      </c>
      <c r="B33">
        <v>1192.710332805925</v>
      </c>
      <c r="C33">
        <v>7214.9633939447813</v>
      </c>
      <c r="D33">
        <v>3807.7971121525702</v>
      </c>
      <c r="E33">
        <v>18.091657999999999</v>
      </c>
      <c r="F33">
        <v>1.008368995257372</v>
      </c>
      <c r="G33">
        <v>350.02357063489308</v>
      </c>
      <c r="H33">
        <v>19.100000000000019</v>
      </c>
      <c r="I33">
        <v>2632.01681517419</v>
      </c>
      <c r="J33">
        <v>3157232531.519084</v>
      </c>
      <c r="K33">
        <v>6937500</v>
      </c>
      <c r="L33">
        <v>2464.95689617486</v>
      </c>
      <c r="M33">
        <v>2464.95689617486</v>
      </c>
      <c r="N33">
        <v>2464.95689617486</v>
      </c>
      <c r="O33">
        <v>2238.3947392111199</v>
      </c>
      <c r="P33">
        <v>5639.3302305057514</v>
      </c>
      <c r="Q33">
        <v>6403.6695715015794</v>
      </c>
      <c r="R33">
        <v>7747916.666666667</v>
      </c>
      <c r="S33">
        <v>3.5</v>
      </c>
      <c r="U33" s="3" t="s">
        <v>58</v>
      </c>
      <c r="V33" s="3">
        <v>4.1192492895629498E-2</v>
      </c>
      <c r="X33">
        <v>3.8687511532881941E-2</v>
      </c>
      <c r="Y33">
        <f t="shared" si="0"/>
        <v>3.2600698355754708E-2</v>
      </c>
      <c r="Z33" s="4">
        <f t="shared" si="1"/>
        <v>1.2635463340728761</v>
      </c>
      <c r="AB33">
        <v>30</v>
      </c>
      <c r="AC33">
        <v>4.2764558020280667E-2</v>
      </c>
      <c r="AD33">
        <v>3.1381885836917138E-2</v>
      </c>
      <c r="AE33">
        <v>23</v>
      </c>
      <c r="AF33" s="4">
        <f t="shared" si="2"/>
        <v>1.3126200608113654</v>
      </c>
      <c r="AH33">
        <v>30</v>
      </c>
      <c r="AI33">
        <v>4.947901194363169E-2</v>
      </c>
      <c r="AJ33">
        <v>3.4614001919006723E-2</v>
      </c>
      <c r="AK33">
        <v>6</v>
      </c>
    </row>
    <row r="34" spans="1:37" x14ac:dyDescent="0.3">
      <c r="W34" s="5"/>
      <c r="X34" s="5">
        <f>SUM(X4:X33)</f>
        <v>1.1867080609962695</v>
      </c>
      <c r="Y34" s="5">
        <f>SUM(Y4:Y33)</f>
        <v>1</v>
      </c>
      <c r="Z34" s="7">
        <f>AVERAGE(Z4:Z33)</f>
        <v>1.0318385326250026</v>
      </c>
      <c r="AA34" s="5"/>
      <c r="AB34" s="5"/>
      <c r="AC34" s="5">
        <f>SUM(AC4:AC33)</f>
        <v>1.3627147279330529</v>
      </c>
      <c r="AD34" s="5">
        <f>SUM(AD4:AD33)</f>
        <v>1</v>
      </c>
      <c r="AE34" s="5"/>
      <c r="AF34" s="7">
        <f>AVERAGE(AF4:AF33)</f>
        <v>0.99417586515621081</v>
      </c>
      <c r="AG34" s="5"/>
      <c r="AH34" s="5"/>
      <c r="AI34" s="5">
        <f>SUM(AI4:AI33)</f>
        <v>1.4294507771568163</v>
      </c>
      <c r="AJ34" s="5">
        <f>SUM(AJ4:AJ33)</f>
        <v>1</v>
      </c>
      <c r="AK34" s="5"/>
    </row>
    <row r="36" spans="1:37" x14ac:dyDescent="0.3">
      <c r="U36" s="6"/>
      <c r="V36" s="6"/>
      <c r="W36" s="6" t="s">
        <v>61</v>
      </c>
      <c r="X36" s="6"/>
      <c r="Y36" s="6"/>
      <c r="Z36" s="6"/>
      <c r="AA36" s="6"/>
      <c r="AB36" s="6" t="s">
        <v>60</v>
      </c>
      <c r="AC36" s="6"/>
      <c r="AD36" s="6" t="s">
        <v>63</v>
      </c>
      <c r="AE36" s="6"/>
      <c r="AF36" s="6"/>
      <c r="AG36" s="6"/>
      <c r="AH36" s="6" t="s">
        <v>62</v>
      </c>
      <c r="AI36" s="6"/>
      <c r="AJ36" s="6"/>
      <c r="AK36" s="6"/>
    </row>
    <row r="37" spans="1:37" x14ac:dyDescent="0.3">
      <c r="X37" s="1" t="s">
        <v>19</v>
      </c>
      <c r="AB37" s="1" t="s">
        <v>22</v>
      </c>
      <c r="AC37" s="1" t="s">
        <v>23</v>
      </c>
      <c r="AD37" s="1" t="s">
        <v>24</v>
      </c>
      <c r="AE37" s="1" t="s">
        <v>25</v>
      </c>
      <c r="AH37" s="1" t="s">
        <v>22</v>
      </c>
      <c r="AI37" s="1" t="s">
        <v>23</v>
      </c>
      <c r="AJ37" s="1" t="s">
        <v>24</v>
      </c>
      <c r="AK37" s="1" t="s">
        <v>25</v>
      </c>
    </row>
    <row r="38" spans="1:37" x14ac:dyDescent="0.3">
      <c r="X38">
        <v>4.521226365034775E-2</v>
      </c>
      <c r="AB38">
        <v>1</v>
      </c>
      <c r="AC38">
        <v>6.0678436940179381E-2</v>
      </c>
      <c r="AD38">
        <v>5.325690079837863E-2</v>
      </c>
      <c r="AE38">
        <v>2</v>
      </c>
      <c r="AH38">
        <v>1</v>
      </c>
      <c r="AI38">
        <v>4.5536198099853209E-2</v>
      </c>
      <c r="AJ38">
        <v>4.0531199374432197E-2</v>
      </c>
      <c r="AK38">
        <v>6</v>
      </c>
    </row>
    <row r="39" spans="1:37" x14ac:dyDescent="0.3">
      <c r="X39">
        <v>4.4258319596242268E-2</v>
      </c>
      <c r="AB39">
        <v>2</v>
      </c>
      <c r="AC39">
        <v>4.287962585567584E-2</v>
      </c>
      <c r="AD39">
        <v>3.763504954352518E-2</v>
      </c>
      <c r="AE39">
        <v>10</v>
      </c>
      <c r="AH39">
        <v>2</v>
      </c>
      <c r="AI39">
        <v>4.3049726797789838E-2</v>
      </c>
      <c r="AJ39">
        <v>3.8318022423169361E-2</v>
      </c>
      <c r="AK39">
        <v>8</v>
      </c>
    </row>
    <row r="40" spans="1:37" x14ac:dyDescent="0.3">
      <c r="X40">
        <v>1.941748464939155E-2</v>
      </c>
      <c r="AB40">
        <v>3</v>
      </c>
      <c r="AC40">
        <v>2.3750951884721871E-2</v>
      </c>
      <c r="AD40">
        <v>2.0845989978923101E-2</v>
      </c>
      <c r="AE40">
        <v>27</v>
      </c>
      <c r="AH40">
        <v>3</v>
      </c>
      <c r="AI40">
        <v>2.9736160487573219E-2</v>
      </c>
      <c r="AJ40">
        <v>2.646778386524606E-2</v>
      </c>
      <c r="AK40">
        <v>25</v>
      </c>
    </row>
    <row r="41" spans="1:37" x14ac:dyDescent="0.3">
      <c r="X41">
        <v>2.5445645890052521E-2</v>
      </c>
      <c r="AB41">
        <v>4</v>
      </c>
      <c r="AC41">
        <v>2.8704090555947911E-2</v>
      </c>
      <c r="AD41">
        <v>2.5193313808542471E-2</v>
      </c>
      <c r="AE41">
        <v>23</v>
      </c>
      <c r="AH41">
        <v>4</v>
      </c>
      <c r="AI41">
        <v>3.069104655219235E-2</v>
      </c>
      <c r="AJ41">
        <v>2.7317715986941351E-2</v>
      </c>
      <c r="AK41">
        <v>24</v>
      </c>
    </row>
    <row r="42" spans="1:37" x14ac:dyDescent="0.3">
      <c r="X42">
        <v>4.5497652429823933E-2</v>
      </c>
      <c r="AB42">
        <v>5</v>
      </c>
      <c r="AC42">
        <v>4.9327608786370547E-2</v>
      </c>
      <c r="AD42">
        <v>4.3294384302398278E-2</v>
      </c>
      <c r="AE42">
        <v>5</v>
      </c>
      <c r="AH42">
        <v>5</v>
      </c>
      <c r="AI42">
        <v>5.0570756091019582E-2</v>
      </c>
      <c r="AJ42">
        <v>4.5012396360940447E-2</v>
      </c>
      <c r="AK42">
        <v>5</v>
      </c>
    </row>
    <row r="43" spans="1:37" x14ac:dyDescent="0.3">
      <c r="X43">
        <v>5.0487315812923761E-2</v>
      </c>
      <c r="AB43">
        <v>6</v>
      </c>
      <c r="AC43">
        <v>7.2859244041865168E-2</v>
      </c>
      <c r="AD43">
        <v>6.3947882111859186E-2</v>
      </c>
      <c r="AE43">
        <v>1</v>
      </c>
      <c r="AH43">
        <v>6</v>
      </c>
      <c r="AI43">
        <v>5.0847746322119747E-2</v>
      </c>
      <c r="AJ43">
        <v>4.5258941895042197E-2</v>
      </c>
      <c r="AK43">
        <v>4</v>
      </c>
    </row>
    <row r="44" spans="1:37" x14ac:dyDescent="0.3">
      <c r="X44">
        <v>4.5675450728615688E-2</v>
      </c>
      <c r="AB44">
        <v>7</v>
      </c>
      <c r="AC44">
        <v>4.8932841787063808E-2</v>
      </c>
      <c r="AD44">
        <v>4.2947900971898531E-2</v>
      </c>
      <c r="AE44">
        <v>6</v>
      </c>
      <c r="AH44">
        <v>7</v>
      </c>
      <c r="AI44">
        <v>3.5301980661870402E-2</v>
      </c>
      <c r="AJ44">
        <v>3.1421850664410923E-2</v>
      </c>
      <c r="AK44">
        <v>19</v>
      </c>
    </row>
    <row r="45" spans="1:37" x14ac:dyDescent="0.3">
      <c r="X45">
        <v>2.1690976229461839E-2</v>
      </c>
      <c r="AB45">
        <v>8</v>
      </c>
      <c r="AC45">
        <v>2.7359306667676719E-2</v>
      </c>
      <c r="AD45">
        <v>2.401300947401383E-2</v>
      </c>
      <c r="AE45">
        <v>25</v>
      </c>
      <c r="AH45">
        <v>8</v>
      </c>
      <c r="AI45">
        <v>3.1758897843168647E-2</v>
      </c>
      <c r="AJ45">
        <v>2.826819704119838E-2</v>
      </c>
      <c r="AK45">
        <v>20</v>
      </c>
    </row>
    <row r="46" spans="1:37" x14ac:dyDescent="0.3">
      <c r="X46">
        <v>2.9684453272502149E-2</v>
      </c>
      <c r="AB46">
        <v>9</v>
      </c>
      <c r="AC46">
        <v>2.770223983588949E-2</v>
      </c>
      <c r="AD46">
        <v>2.431399873215814E-2</v>
      </c>
      <c r="AE46">
        <v>24</v>
      </c>
      <c r="AH46">
        <v>9</v>
      </c>
      <c r="AI46">
        <v>2.9433570897026581E-2</v>
      </c>
      <c r="AJ46">
        <v>2.6198452662052951E-2</v>
      </c>
      <c r="AK46">
        <v>26</v>
      </c>
    </row>
    <row r="47" spans="1:37" x14ac:dyDescent="0.3">
      <c r="X47">
        <v>5.6307802993219407E-2</v>
      </c>
      <c r="AB47">
        <v>10</v>
      </c>
      <c r="AC47">
        <v>3.8398475159738148E-2</v>
      </c>
      <c r="AD47">
        <v>3.370198517814911E-2</v>
      </c>
      <c r="AE47">
        <v>16</v>
      </c>
      <c r="AH47">
        <v>10</v>
      </c>
      <c r="AI47">
        <v>5.1857271123481041E-2</v>
      </c>
      <c r="AJ47">
        <v>4.6157507271705478E-2</v>
      </c>
      <c r="AK47">
        <v>3</v>
      </c>
    </row>
    <row r="48" spans="1:37" x14ac:dyDescent="0.3">
      <c r="X48">
        <v>2.8306925840417319E-2</v>
      </c>
      <c r="AB48">
        <v>11</v>
      </c>
      <c r="AC48">
        <v>3.291609867119405E-2</v>
      </c>
      <c r="AD48">
        <v>2.8890154229411859E-2</v>
      </c>
      <c r="AE48">
        <v>20</v>
      </c>
      <c r="AH48">
        <v>11</v>
      </c>
      <c r="AI48">
        <v>3.1085683413493829E-2</v>
      </c>
      <c r="AJ48">
        <v>2.7668977312509981E-2</v>
      </c>
      <c r="AK48">
        <v>21</v>
      </c>
    </row>
    <row r="49" spans="24:37" x14ac:dyDescent="0.3">
      <c r="X49">
        <v>4.1095103790477087E-2</v>
      </c>
      <c r="AB49">
        <v>12</v>
      </c>
      <c r="AC49">
        <v>4.2629875716556853E-2</v>
      </c>
      <c r="AD49">
        <v>3.7415846164958362E-2</v>
      </c>
      <c r="AE49">
        <v>11</v>
      </c>
      <c r="AH49">
        <v>12</v>
      </c>
      <c r="AI49">
        <v>4.5208795337885022E-2</v>
      </c>
      <c r="AJ49">
        <v>4.0239782278258009E-2</v>
      </c>
      <c r="AK49">
        <v>7</v>
      </c>
    </row>
    <row r="50" spans="24:37" x14ac:dyDescent="0.3">
      <c r="X50">
        <v>2.4777973623044468E-2</v>
      </c>
      <c r="AB50">
        <v>13</v>
      </c>
      <c r="AC50">
        <v>3.4815708675523638E-2</v>
      </c>
      <c r="AD50">
        <v>3.0557424295315591E-2</v>
      </c>
      <c r="AE50">
        <v>19</v>
      </c>
      <c r="AH50">
        <v>13</v>
      </c>
      <c r="AI50">
        <v>3.0762518521441962E-2</v>
      </c>
      <c r="AJ50">
        <v>2.738133229124912E-2</v>
      </c>
      <c r="AK50">
        <v>23</v>
      </c>
    </row>
    <row r="51" spans="24:37" x14ac:dyDescent="0.3">
      <c r="X51">
        <v>3.2443635838208133E-2</v>
      </c>
      <c r="AB51">
        <v>14</v>
      </c>
      <c r="AC51">
        <v>4.0840380725967407E-2</v>
      </c>
      <c r="AD51">
        <v>3.5845223024369342E-2</v>
      </c>
      <c r="AE51">
        <v>15</v>
      </c>
      <c r="AH51">
        <v>14</v>
      </c>
      <c r="AI51">
        <v>3.5958718919317789E-2</v>
      </c>
      <c r="AJ51">
        <v>3.2006405158640922E-2</v>
      </c>
      <c r="AK51">
        <v>17</v>
      </c>
    </row>
    <row r="52" spans="24:37" x14ac:dyDescent="0.3">
      <c r="X52">
        <v>3.4537887132616137E-2</v>
      </c>
      <c r="AB52">
        <v>15</v>
      </c>
      <c r="AC52">
        <v>3.7700768151808013E-2</v>
      </c>
      <c r="AD52">
        <v>3.3089614214402929E-2</v>
      </c>
      <c r="AE52">
        <v>17</v>
      </c>
      <c r="AH52">
        <v>15</v>
      </c>
      <c r="AI52">
        <v>3.7649664997957188E-2</v>
      </c>
      <c r="AJ52">
        <v>3.3511495076215057E-2</v>
      </c>
      <c r="AK52">
        <v>14</v>
      </c>
    </row>
    <row r="53" spans="24:37" x14ac:dyDescent="0.3">
      <c r="X53">
        <v>3.7661640728448492E-2</v>
      </c>
      <c r="AB53">
        <v>16</v>
      </c>
      <c r="AC53">
        <v>4.1053523625123489E-2</v>
      </c>
      <c r="AD53">
        <v>3.6032296568261457E-2</v>
      </c>
      <c r="AE53">
        <v>13</v>
      </c>
      <c r="AH53">
        <v>16</v>
      </c>
      <c r="AI53">
        <v>3.7813835218912573E-2</v>
      </c>
      <c r="AJ53">
        <v>3.3657620932886191E-2</v>
      </c>
      <c r="AK53">
        <v>13</v>
      </c>
    </row>
    <row r="54" spans="24:37" x14ac:dyDescent="0.3">
      <c r="X54">
        <v>6.0128513045345638E-2</v>
      </c>
      <c r="AB54">
        <v>17</v>
      </c>
      <c r="AC54">
        <v>5.9661419078111073E-2</v>
      </c>
      <c r="AD54">
        <v>5.2364273662255323E-2</v>
      </c>
      <c r="AE54">
        <v>3</v>
      </c>
      <c r="AH54">
        <v>17</v>
      </c>
      <c r="AI54">
        <v>5.4551562455117157E-2</v>
      </c>
      <c r="AJ54">
        <v>4.8555662227371413E-2</v>
      </c>
      <c r="AK54">
        <v>2</v>
      </c>
    </row>
    <row r="55" spans="24:37" x14ac:dyDescent="0.3">
      <c r="X55">
        <v>3.3004909086097461E-2</v>
      </c>
      <c r="AB55">
        <v>18</v>
      </c>
      <c r="AC55">
        <v>4.1789598623836348E-2</v>
      </c>
      <c r="AD55">
        <v>3.6678342761331077E-2</v>
      </c>
      <c r="AE55">
        <v>12</v>
      </c>
      <c r="AH55">
        <v>18</v>
      </c>
      <c r="AI55">
        <v>3.7102441298429767E-2</v>
      </c>
      <c r="AJ55">
        <v>3.3024418117806632E-2</v>
      </c>
      <c r="AK55">
        <v>15</v>
      </c>
    </row>
    <row r="56" spans="24:37" x14ac:dyDescent="0.3">
      <c r="X56">
        <v>3.120278950585241E-2</v>
      </c>
      <c r="AB56">
        <v>19</v>
      </c>
      <c r="AC56">
        <v>3.7044128587695013E-2</v>
      </c>
      <c r="AD56">
        <v>3.2513287764848332E-2</v>
      </c>
      <c r="AE56">
        <v>18</v>
      </c>
      <c r="AH56">
        <v>19</v>
      </c>
      <c r="AI56">
        <v>3.9562752048368573E-2</v>
      </c>
      <c r="AJ56">
        <v>3.5214309889406901E-2</v>
      </c>
      <c r="AK56">
        <v>10</v>
      </c>
    </row>
    <row r="57" spans="24:37" x14ac:dyDescent="0.3">
      <c r="X57">
        <v>1.3399374105821369E-2</v>
      </c>
      <c r="AB57">
        <v>20</v>
      </c>
      <c r="AC57">
        <v>1.1745124942535771E-2</v>
      </c>
      <c r="AD57">
        <v>1.030858712701937E-2</v>
      </c>
      <c r="AE57">
        <v>29</v>
      </c>
      <c r="AH57">
        <v>20</v>
      </c>
      <c r="AI57">
        <v>2.323580292591032E-2</v>
      </c>
      <c r="AJ57">
        <v>2.068189704704667E-2</v>
      </c>
      <c r="AK57">
        <v>29</v>
      </c>
    </row>
    <row r="58" spans="24:37" x14ac:dyDescent="0.3">
      <c r="X58">
        <v>1.4400856467599249E-2</v>
      </c>
      <c r="AB58">
        <v>21</v>
      </c>
      <c r="AC58">
        <v>7.2404026859658188E-3</v>
      </c>
      <c r="AD58">
        <v>6.3548342217012921E-3</v>
      </c>
      <c r="AE58">
        <v>30</v>
      </c>
      <c r="AH58">
        <v>21</v>
      </c>
      <c r="AI58">
        <v>2.3231572727354429E-2</v>
      </c>
      <c r="AJ58">
        <v>2.0678131800315139E-2</v>
      </c>
      <c r="AK58">
        <v>30</v>
      </c>
    </row>
    <row r="59" spans="24:37" x14ac:dyDescent="0.3">
      <c r="X59">
        <v>2.6054936154991451E-2</v>
      </c>
      <c r="AB59">
        <v>22</v>
      </c>
      <c r="AC59">
        <v>2.871045213305479E-2</v>
      </c>
      <c r="AD59">
        <v>2.5198897305711919E-2</v>
      </c>
      <c r="AE59">
        <v>22</v>
      </c>
      <c r="AH59">
        <v>22</v>
      </c>
      <c r="AI59">
        <v>3.8242525372425007E-2</v>
      </c>
      <c r="AJ59">
        <v>3.4039192667174763E-2</v>
      </c>
      <c r="AK59">
        <v>12</v>
      </c>
    </row>
    <row r="60" spans="24:37" x14ac:dyDescent="0.3">
      <c r="X60">
        <v>2.1418269074005122E-2</v>
      </c>
      <c r="AB60">
        <v>23</v>
      </c>
      <c r="AC60">
        <v>2.9588295396933969E-2</v>
      </c>
      <c r="AD60">
        <v>2.5969372189022261E-2</v>
      </c>
      <c r="AE60">
        <v>21</v>
      </c>
      <c r="AH60">
        <v>23</v>
      </c>
      <c r="AI60">
        <v>3.0829577434133171E-2</v>
      </c>
      <c r="AJ60">
        <v>2.744102058920847E-2</v>
      </c>
      <c r="AK60">
        <v>22</v>
      </c>
    </row>
    <row r="61" spans="24:37" x14ac:dyDescent="0.3">
      <c r="X61">
        <v>1.354429159842924E-2</v>
      </c>
      <c r="AB61">
        <v>24</v>
      </c>
      <c r="AC61">
        <v>1.6080064407105969E-2</v>
      </c>
      <c r="AD61">
        <v>1.4113323251965919E-2</v>
      </c>
      <c r="AE61">
        <v>28</v>
      </c>
      <c r="AH61">
        <v>24</v>
      </c>
      <c r="AI61">
        <v>2.5568878937519909E-2</v>
      </c>
      <c r="AJ61">
        <v>2.2758538772271391E-2</v>
      </c>
      <c r="AK61">
        <v>28</v>
      </c>
    </row>
    <row r="62" spans="24:37" x14ac:dyDescent="0.3">
      <c r="X62">
        <v>4.1440365123294437E-2</v>
      </c>
      <c r="AB62">
        <v>25</v>
      </c>
      <c r="AC62">
        <v>4.6531481325473578E-2</v>
      </c>
      <c r="AD62">
        <v>4.0840249187622343E-2</v>
      </c>
      <c r="AE62">
        <v>8</v>
      </c>
      <c r="AH62">
        <v>25</v>
      </c>
      <c r="AI62">
        <v>3.6673152076446058E-2</v>
      </c>
      <c r="AJ62">
        <v>3.2642313160177933E-2</v>
      </c>
      <c r="AK62">
        <v>16</v>
      </c>
    </row>
    <row r="63" spans="24:37" x14ac:dyDescent="0.3">
      <c r="X63">
        <v>2.012723490342988E-2</v>
      </c>
      <c r="AB63">
        <v>26</v>
      </c>
      <c r="AC63">
        <v>4.0848771209311963E-2</v>
      </c>
      <c r="AD63">
        <v>3.5852587273708388E-2</v>
      </c>
      <c r="AE63">
        <v>14</v>
      </c>
      <c r="AH63">
        <v>26</v>
      </c>
      <c r="AI63">
        <v>2.652301191483275E-2</v>
      </c>
      <c r="AJ63">
        <v>2.3607800580391289E-2</v>
      </c>
      <c r="AK63">
        <v>27</v>
      </c>
    </row>
    <row r="64" spans="24:37" x14ac:dyDescent="0.3">
      <c r="X64">
        <v>5.6965890891641287E-2</v>
      </c>
      <c r="AB64">
        <v>27</v>
      </c>
      <c r="AC64">
        <v>5.2727124776538403E-2</v>
      </c>
      <c r="AD64">
        <v>4.6278107927800162E-2</v>
      </c>
      <c r="AE64">
        <v>4</v>
      </c>
      <c r="AH64">
        <v>27</v>
      </c>
      <c r="AI64">
        <v>5.5185847573852698E-2</v>
      </c>
      <c r="AJ64">
        <v>4.9120231464164769E-2</v>
      </c>
      <c r="AK64">
        <v>1</v>
      </c>
    </row>
    <row r="65" spans="23:37" x14ac:dyDescent="0.3">
      <c r="X65">
        <v>4.3995199825389422E-2</v>
      </c>
      <c r="AB65">
        <v>28</v>
      </c>
      <c r="AC65">
        <v>4.428744796950923E-2</v>
      </c>
      <c r="AD65">
        <v>3.8870681943418819E-2</v>
      </c>
      <c r="AE65">
        <v>9</v>
      </c>
      <c r="AH65">
        <v>28</v>
      </c>
      <c r="AI65">
        <v>4.1578772876164287E-2</v>
      </c>
      <c r="AJ65">
        <v>3.7008744768120667E-2</v>
      </c>
      <c r="AK65">
        <v>9</v>
      </c>
    </row>
    <row r="66" spans="23:37" x14ac:dyDescent="0.3">
      <c r="X66">
        <v>2.7506418848785959E-2</v>
      </c>
      <c r="AB66">
        <v>29</v>
      </c>
      <c r="AC66">
        <v>4.8635304337039997E-2</v>
      </c>
      <c r="AD66">
        <v>4.2686755114180693E-2</v>
      </c>
      <c r="AE66">
        <v>7</v>
      </c>
      <c r="AH66">
        <v>29</v>
      </c>
      <c r="AI66">
        <v>3.8273307085432862E-2</v>
      </c>
      <c r="AJ66">
        <v>3.406659108423786E-2</v>
      </c>
      <c r="AK66">
        <v>11</v>
      </c>
    </row>
    <row r="67" spans="23:37" x14ac:dyDescent="0.3">
      <c r="X67">
        <v>2.4098387400102141E-2</v>
      </c>
      <c r="AB67">
        <v>30</v>
      </c>
      <c r="AC67">
        <v>2.391471901955811E-2</v>
      </c>
      <c r="AD67">
        <v>2.0989726872848141E-2</v>
      </c>
      <c r="AE67">
        <v>26</v>
      </c>
      <c r="AH67">
        <v>30</v>
      </c>
      <c r="AI67">
        <v>3.5663312085716832E-2</v>
      </c>
      <c r="AJ67">
        <v>3.1743467237407473E-2</v>
      </c>
      <c r="AK67">
        <v>18</v>
      </c>
    </row>
    <row r="68" spans="23:37" x14ac:dyDescent="0.3">
      <c r="W68" s="6"/>
      <c r="X68" s="6">
        <f>SUM(X38:X67)</f>
        <v>1.0097879682365773</v>
      </c>
      <c r="Y68" s="6"/>
      <c r="Z68" s="6"/>
      <c r="AA68" s="6"/>
      <c r="AB68" s="6"/>
      <c r="AC68" s="6">
        <f>SUM(AC38:AC67)</f>
        <v>1.1393535115739724</v>
      </c>
      <c r="AD68" s="6">
        <f>SUM(AD38:AD67)</f>
        <v>0.99999999999999989</v>
      </c>
      <c r="AE68" s="6"/>
      <c r="AF68" s="6"/>
      <c r="AG68" s="6"/>
      <c r="AH68" s="6"/>
      <c r="AI68" s="6">
        <f>SUM(AI38:AI67)</f>
        <v>1.1234850880968068</v>
      </c>
      <c r="AJ68" s="6">
        <f>SUM(AJ38:AJ67)</f>
        <v>1.0000000000000002</v>
      </c>
      <c r="AK6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</dc:creator>
  <cp:lastModifiedBy>NIK HOTIS</cp:lastModifiedBy>
  <dcterms:created xsi:type="dcterms:W3CDTF">2015-06-05T18:19:34Z</dcterms:created>
  <dcterms:modified xsi:type="dcterms:W3CDTF">2025-02-26T19:10:13Z</dcterms:modified>
</cp:coreProperties>
</file>