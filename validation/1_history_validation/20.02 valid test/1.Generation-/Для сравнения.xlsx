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test_new\для теста\"/>
    </mc:Choice>
  </mc:AlternateContent>
  <xr:revisionPtr revIDLastSave="0" documentId="13_ncr:1_{568B7909-4245-4DAA-8B51-275E62C7ACB4}" xr6:coauthVersionLast="47" xr6:coauthVersionMax="47" xr10:uidLastSave="{00000000-0000-0000-0000-000000000000}"/>
  <bookViews>
    <workbookView xWindow="0" yWindow="9648" windowWidth="29736" windowHeight="1564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3" i="1" l="1"/>
  <c r="AG33" i="1"/>
  <c r="AA33" i="1"/>
  <c r="AT33" i="1"/>
  <c r="AR33" i="1"/>
  <c r="AP33" i="1"/>
  <c r="AK33" i="1"/>
  <c r="AF33" i="1"/>
  <c r="Z33" i="1"/>
</calcChain>
</file>

<file path=xl/sharedStrings.xml><?xml version="1.0" encoding="utf-8"?>
<sst xmlns="http://schemas.openxmlformats.org/spreadsheetml/2006/main" count="104" uniqueCount="64">
  <si>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</si>
  <si>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</si>
  <si>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</si>
  <si>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</si>
  <si>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</si>
  <si>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</si>
  <si>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</si>
  <si>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</si>
  <si>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</si>
  <si>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</si>
  <si>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</si>
  <si>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</si>
  <si>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</si>
  <si>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</si>
  <si>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</si>
  <si>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</si>
  <si>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</si>
  <si>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</si>
  <si>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</si>
  <si>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</si>
  <si>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</si>
  <si>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</si>
  <si>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</si>
  <si>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</si>
  <si>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</si>
  <si>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</si>
  <si>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</si>
  <si>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</si>
  <si>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</si>
  <si>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</si>
  <si>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</si>
  <si>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</si>
  <si>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</si>
  <si>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</si>
  <si>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</si>
  <si>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</si>
  <si>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</si>
  <si>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</si>
  <si>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</si>
  <si>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</si>
  <si>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</si>
  <si>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</si>
  <si>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</si>
  <si>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</si>
  <si>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</si>
  <si>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</si>
  <si>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</si>
  <si>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</si>
  <si>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W 27</t>
  </si>
  <si>
    <t>W 28</t>
  </si>
  <si>
    <t>W 29</t>
  </si>
  <si>
    <t>W 30</t>
  </si>
  <si>
    <t>Temp</t>
  </si>
  <si>
    <t>Основа</t>
  </si>
  <si>
    <t>Прогнозный дебит</t>
  </si>
  <si>
    <t>Нормированный дебит</t>
  </si>
  <si>
    <t>Рекомендуемый приоритет</t>
  </si>
  <si>
    <t>1-сbm</t>
  </si>
  <si>
    <t>1000 итераций</t>
  </si>
  <si>
    <t>500 итераций</t>
  </si>
  <si>
    <t>Прогноз</t>
  </si>
  <si>
    <t>forest - optumiz</t>
  </si>
  <si>
    <t>forest -optuna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</si>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</sst>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"/>
  <sheetViews>
    <sheetView tabSelected="1" topLeftCell="M1" zoomScale="70" zoomScaleNormal="70" workbookViewId="0">
      <selection activeCell="AL34" sqref="AL34"/>
    </sheetView>
  </sheetViews>
  <sheetFormatPr defaultRowHeight="14.4" x14ac:dyDescent="0.3"/>
  <sheetData>
    <row r="1" spans="1:46" x14ac:dyDescent="0.3">
      <c r="A1" t="s">
        <v>53</v>
      </c>
      <c r="Y1" t="s">
        <v>57</v>
      </c>
      <c r="AE1" t="s">
        <v>58</v>
      </c>
      <c r="AJ1" t="s">
        <v>59</v>
      </c>
      <c r="AP1" t="s">
        <v>61</v>
      </c>
      <c r="AR1" t="s">
        <v>62</v>
      </c>
      <c r="AT1" t="s">
        <v>63</v>
      </c>
    </row>
    <row r="2" spans="1:4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52</v>
      </c>
      <c r="V2" s="1" t="s">
        <v>20</v>
      </c>
      <c r="Y2" s="1" t="s">
        <v>1</v>
      </c>
      <c r="Z2" s="1" t="s">
        <v>54</v>
      </c>
      <c r="AA2" s="1" t="s">
        <v>55</v>
      </c>
      <c r="AB2" s="1" t="s">
        <v>56</v>
      </c>
      <c r="AE2" s="1" t="s">
        <v>1</v>
      </c>
      <c r="AF2" s="1" t="s">
        <v>54</v>
      </c>
      <c r="AG2" s="1" t="s">
        <v>55</v>
      </c>
      <c r="AH2" s="1" t="s">
        <v>56</v>
      </c>
      <c r="AJ2" s="1" t="s">
        <v>1</v>
      </c>
      <c r="AK2" s="1" t="s">
        <v>54</v>
      </c>
      <c r="AL2" s="1" t="s">
        <v>55</v>
      </c>
      <c r="AM2" s="1" t="s">
        <v>56</v>
      </c>
      <c r="AP2" s="1" t="s">
        <v>60</v>
      </c>
      <c r="AR2" s="1" t="s">
        <v>60</v>
      </c>
      <c r="AT2" s="1" t="s">
        <v>60</v>
      </c>
    </row>
    <row r="3" spans="1:46" x14ac:dyDescent="0.3">
      <c r="A3" t="s">
        <v>21</v>
      </c>
      <c r="B3" t="s">
        <v>22</v>
      </c>
      <c r="C3">
        <v>3785.7624237693799</v>
      </c>
      <c r="D3">
        <v>968.81232031160209</v>
      </c>
      <c r="E3">
        <v>5374.4036352883504</v>
      </c>
      <c r="F3">
        <v>4344.7742390943786</v>
      </c>
      <c r="G3">
        <v>25.653586000000001</v>
      </c>
      <c r="H3">
        <v>0.97420680290077177</v>
      </c>
      <c r="I3">
        <v>350.01791382727828</v>
      </c>
      <c r="J3">
        <v>23.899999999999981</v>
      </c>
      <c r="K3">
        <v>5020.310387371851</v>
      </c>
      <c r="L3">
        <v>3014582297.1931238</v>
      </c>
      <c r="M3">
        <v>6250000</v>
      </c>
      <c r="N3">
        <v>2464.95689617486</v>
      </c>
      <c r="O3">
        <v>2464.95689617486</v>
      </c>
      <c r="P3">
        <v>2464.95689617486</v>
      </c>
      <c r="Q3">
        <v>2613.6543904545638</v>
      </c>
      <c r="R3">
        <v>11795.99737205051</v>
      </c>
      <c r="S3">
        <v>5639.3302305057514</v>
      </c>
      <c r="T3">
        <v>7747916.666666667</v>
      </c>
      <c r="U3">
        <v>4.5</v>
      </c>
      <c r="V3">
        <v>5.8022964045128918E-2</v>
      </c>
      <c r="Y3">
        <v>1</v>
      </c>
      <c r="Z3">
        <v>4.6000894653843723E-2</v>
      </c>
      <c r="AA3">
        <v>3.2176249462643143E-2</v>
      </c>
      <c r="AB3">
        <v>20</v>
      </c>
      <c r="AE3">
        <v>1</v>
      </c>
      <c r="AF3">
        <v>4.7159046240068392E-2</v>
      </c>
      <c r="AG3">
        <v>3.2821533513410828E-2</v>
      </c>
      <c r="AH3">
        <v>20</v>
      </c>
      <c r="AJ3">
        <v>1</v>
      </c>
      <c r="AK3">
        <v>3.6059901765838731E-2</v>
      </c>
      <c r="AL3">
        <v>2.9476075980857289E-2</v>
      </c>
      <c r="AM3">
        <v>26</v>
      </c>
      <c r="AP3">
        <v>3.2531902068046438E-2</v>
      </c>
      <c r="AR3">
        <v>2.9246850987128582E-2</v>
      </c>
      <c r="AT3">
        <v>7.1462001928844138E-2</v>
      </c>
    </row>
    <row r="4" spans="1:46" x14ac:dyDescent="0.3">
      <c r="A4" t="s">
        <v>21</v>
      </c>
      <c r="B4" t="s">
        <v>23</v>
      </c>
      <c r="C4">
        <v>5143.3716088032897</v>
      </c>
      <c r="D4">
        <v>2062.2000848266748</v>
      </c>
      <c r="E4">
        <v>11556.382799087491</v>
      </c>
      <c r="F4">
        <v>5639.3302305057514</v>
      </c>
      <c r="G4">
        <v>15.733375000000001</v>
      </c>
      <c r="H4">
        <v>1.009245250939484</v>
      </c>
      <c r="I4">
        <v>350.01855665092961</v>
      </c>
      <c r="J4">
        <v>22.200000000000049</v>
      </c>
      <c r="K4">
        <v>2332.027977504275</v>
      </c>
      <c r="L4">
        <v>2834616248.434144</v>
      </c>
      <c r="M4">
        <v>5500000</v>
      </c>
      <c r="N4">
        <v>2464.95689617486</v>
      </c>
      <c r="O4">
        <v>2464.95689617486</v>
      </c>
      <c r="P4">
        <v>2464.95689617486</v>
      </c>
      <c r="Q4">
        <v>4344.7742390943786</v>
      </c>
      <c r="R4">
        <v>7738.0931040132327</v>
      </c>
      <c r="S4">
        <v>3807.7971121525702</v>
      </c>
      <c r="T4">
        <v>7747916.666666667</v>
      </c>
      <c r="U4">
        <v>4.5</v>
      </c>
      <c r="V4">
        <v>2.825526966511354E-2</v>
      </c>
      <c r="Y4">
        <v>2</v>
      </c>
      <c r="Z4">
        <v>4.8477430420462042E-2</v>
      </c>
      <c r="AA4">
        <v>3.3908512133391237E-2</v>
      </c>
      <c r="AB4">
        <v>10</v>
      </c>
      <c r="AE4">
        <v>2</v>
      </c>
      <c r="AF4">
        <v>4.8649050608887023E-2</v>
      </c>
      <c r="AG4">
        <v>3.3858539819207542E-2</v>
      </c>
      <c r="AH4">
        <v>13</v>
      </c>
      <c r="AJ4">
        <v>2</v>
      </c>
      <c r="AK4">
        <v>4.2189798939944012E-2</v>
      </c>
      <c r="AL4">
        <v>3.4486775012487529E-2</v>
      </c>
      <c r="AM4">
        <v>11</v>
      </c>
      <c r="AP4">
        <v>4.2002421593358728E-2</v>
      </c>
      <c r="AR4">
        <v>4.361906597772932E-2</v>
      </c>
      <c r="AT4">
        <v>7.1462001928844138E-2</v>
      </c>
    </row>
    <row r="5" spans="1:46" x14ac:dyDescent="0.3">
      <c r="A5" t="s">
        <v>21</v>
      </c>
      <c r="B5" t="s">
        <v>24</v>
      </c>
      <c r="C5">
        <v>1970.2545165306101</v>
      </c>
      <c r="D5">
        <v>464.38667453921602</v>
      </c>
      <c r="E5">
        <v>2568.5679777561841</v>
      </c>
      <c r="F5">
        <v>2238.3947392111199</v>
      </c>
      <c r="G5">
        <v>26.636437000000001</v>
      </c>
      <c r="H5">
        <v>0.99296426169911534</v>
      </c>
      <c r="I5">
        <v>350.01808524703398</v>
      </c>
      <c r="J5">
        <v>30.200000000000049</v>
      </c>
      <c r="K5">
        <v>5315.29468507416</v>
      </c>
      <c r="L5">
        <v>2686369887.6975012</v>
      </c>
      <c r="M5">
        <v>7187500</v>
      </c>
      <c r="N5">
        <v>2464.95689617486</v>
      </c>
      <c r="O5">
        <v>2464.95689617486</v>
      </c>
      <c r="P5">
        <v>2464.95689617486</v>
      </c>
      <c r="Q5">
        <v>2233.1667411011758</v>
      </c>
      <c r="R5">
        <v>4344.7742390943786</v>
      </c>
      <c r="S5">
        <v>3807.7971121525702</v>
      </c>
      <c r="T5">
        <v>7747916.666666667</v>
      </c>
      <c r="U5">
        <v>4.5</v>
      </c>
      <c r="V5">
        <v>2.2103332286058309E-2</v>
      </c>
      <c r="Y5">
        <v>3</v>
      </c>
      <c r="Z5">
        <v>4.6000894653843723E-2</v>
      </c>
      <c r="AA5">
        <v>3.2176249462643143E-2</v>
      </c>
      <c r="AB5">
        <v>20</v>
      </c>
      <c r="AE5">
        <v>3</v>
      </c>
      <c r="AF5">
        <v>4.9877040310164489E-2</v>
      </c>
      <c r="AG5">
        <v>3.471319037616382E-2</v>
      </c>
      <c r="AH5">
        <v>4</v>
      </c>
      <c r="AJ5">
        <v>3</v>
      </c>
      <c r="AK5">
        <v>3.7042372270661872E-2</v>
      </c>
      <c r="AL5">
        <v>3.0279166777864189E-2</v>
      </c>
      <c r="AM5">
        <v>24</v>
      </c>
      <c r="AP5">
        <v>3.1629467300486089E-2</v>
      </c>
      <c r="AR5">
        <v>2.735486971373299E-2</v>
      </c>
      <c r="AT5">
        <v>7.3193655331858093E-2</v>
      </c>
    </row>
    <row r="6" spans="1:46" x14ac:dyDescent="0.3">
      <c r="A6" t="s">
        <v>21</v>
      </c>
      <c r="B6" t="s">
        <v>25</v>
      </c>
      <c r="C6">
        <v>2475.200186272551</v>
      </c>
      <c r="D6">
        <v>847.07563673152004</v>
      </c>
      <c r="E6">
        <v>5850.4257216821043</v>
      </c>
      <c r="F6">
        <v>2613.6543904545638</v>
      </c>
      <c r="G6">
        <v>16.783546999999999</v>
      </c>
      <c r="H6">
        <v>0.97234714449812087</v>
      </c>
      <c r="I6">
        <v>350.02151362451991</v>
      </c>
      <c r="J6">
        <v>23.200000000000049</v>
      </c>
      <c r="K6">
        <v>4059.6750644928729</v>
      </c>
      <c r="L6">
        <v>3831743551.0348902</v>
      </c>
      <c r="M6">
        <v>8250000</v>
      </c>
      <c r="N6">
        <v>2464.95689617486</v>
      </c>
      <c r="O6">
        <v>2464.95689617486</v>
      </c>
      <c r="P6">
        <v>2464.95689617486</v>
      </c>
      <c r="Q6">
        <v>4475.7479966463543</v>
      </c>
      <c r="R6">
        <v>4344.7742390943786</v>
      </c>
      <c r="S6">
        <v>2233.1667411011758</v>
      </c>
      <c r="T6">
        <v>7747916.666666667</v>
      </c>
      <c r="U6">
        <v>4.5</v>
      </c>
      <c r="V6">
        <v>1.7244995376875901E-2</v>
      </c>
      <c r="Y6">
        <v>4</v>
      </c>
      <c r="Z6">
        <v>4.4431568210711703E-2</v>
      </c>
      <c r="AA6">
        <v>3.107855256995197E-2</v>
      </c>
      <c r="AB6">
        <v>25</v>
      </c>
      <c r="AE6">
        <v>4</v>
      </c>
      <c r="AF6">
        <v>4.8206199159366747E-2</v>
      </c>
      <c r="AG6">
        <v>3.3550326128500139E-2</v>
      </c>
      <c r="AH6">
        <v>15</v>
      </c>
      <c r="AJ6">
        <v>4</v>
      </c>
      <c r="AK6">
        <v>3.9214238277054392E-2</v>
      </c>
      <c r="AL6">
        <v>3.2054492951528769E-2</v>
      </c>
      <c r="AM6">
        <v>19</v>
      </c>
      <c r="AP6">
        <v>4.1676559013315601E-2</v>
      </c>
      <c r="AR6">
        <v>3.9582633736758847E-2</v>
      </c>
      <c r="AT6">
        <v>7.1462001928844124E-2</v>
      </c>
    </row>
    <row r="7" spans="1:46" x14ac:dyDescent="0.3">
      <c r="A7" t="s">
        <v>21</v>
      </c>
      <c r="B7" t="s">
        <v>26</v>
      </c>
      <c r="C7">
        <v>10512.818076903441</v>
      </c>
      <c r="D7">
        <v>2322.998871110834</v>
      </c>
      <c r="E7">
        <v>12965.982160231801</v>
      </c>
      <c r="F7">
        <v>11795.99737205051</v>
      </c>
      <c r="G7">
        <v>27.062847000000001</v>
      </c>
      <c r="H7">
        <v>0.98159070255985992</v>
      </c>
      <c r="I7">
        <v>350.01928518297387</v>
      </c>
      <c r="J7">
        <v>20.700000000000049</v>
      </c>
      <c r="K7">
        <v>4917.3862491054579</v>
      </c>
      <c r="L7">
        <v>3348167083.5091228</v>
      </c>
      <c r="M7">
        <v>5625000</v>
      </c>
      <c r="N7">
        <v>2464.95689617486</v>
      </c>
      <c r="O7">
        <v>2464.95689617486</v>
      </c>
      <c r="P7">
        <v>2464.95689617486</v>
      </c>
      <c r="Q7">
        <v>19517.539220130398</v>
      </c>
      <c r="R7">
        <v>4475.7479966463543</v>
      </c>
      <c r="S7">
        <v>4344.7742390943786</v>
      </c>
      <c r="T7">
        <v>7747916.666666667</v>
      </c>
      <c r="U7">
        <v>4.5</v>
      </c>
      <c r="V7">
        <v>5.4752726686036812E-2</v>
      </c>
      <c r="Y7">
        <v>5</v>
      </c>
      <c r="Z7">
        <v>4.6000894653843723E-2</v>
      </c>
      <c r="AA7">
        <v>3.2176249462643143E-2</v>
      </c>
      <c r="AB7">
        <v>20</v>
      </c>
      <c r="AE7">
        <v>5</v>
      </c>
      <c r="AF7">
        <v>4.7016288611132502E-2</v>
      </c>
      <c r="AG7">
        <v>3.2722177723249972E-2</v>
      </c>
      <c r="AH7">
        <v>21</v>
      </c>
      <c r="AJ7">
        <v>5</v>
      </c>
      <c r="AK7">
        <v>3.6247427728085313E-2</v>
      </c>
      <c r="AL7">
        <v>2.9629363406526318E-2</v>
      </c>
      <c r="AM7">
        <v>25</v>
      </c>
      <c r="AP7">
        <v>3.4215129117689112E-2</v>
      </c>
      <c r="AR7">
        <v>4.5067272503018271E-2</v>
      </c>
      <c r="AT7">
        <v>7.1462001928844124E-2</v>
      </c>
    </row>
    <row r="8" spans="1:46" x14ac:dyDescent="0.3">
      <c r="A8" t="s">
        <v>21</v>
      </c>
      <c r="B8" t="s">
        <v>27</v>
      </c>
      <c r="C8">
        <v>7336.00369979275</v>
      </c>
      <c r="D8">
        <v>2282.157465934843</v>
      </c>
      <c r="E8">
        <v>13384.767296614769</v>
      </c>
      <c r="F8">
        <v>7738.0931040132327</v>
      </c>
      <c r="G8">
        <v>16.180463</v>
      </c>
      <c r="H8">
        <v>1.006028875687921</v>
      </c>
      <c r="I8">
        <v>350.02248499203591</v>
      </c>
      <c r="J8">
        <v>23.200000000000049</v>
      </c>
      <c r="K8">
        <v>2218.4941627851472</v>
      </c>
      <c r="L8">
        <v>3058805424.6318021</v>
      </c>
      <c r="M8">
        <v>5500000</v>
      </c>
      <c r="N8">
        <v>2464.95689617486</v>
      </c>
      <c r="O8">
        <v>2464.95689617486</v>
      </c>
      <c r="P8">
        <v>2464.95689617486</v>
      </c>
      <c r="Q8">
        <v>11640.009147867609</v>
      </c>
      <c r="R8">
        <v>11795.99737205051</v>
      </c>
      <c r="S8">
        <v>5639.3302305057514</v>
      </c>
      <c r="T8">
        <v>7747916.666666667</v>
      </c>
      <c r="U8">
        <v>4.5</v>
      </c>
      <c r="V8">
        <v>5.8785229388184097E-2</v>
      </c>
      <c r="Y8">
        <v>6</v>
      </c>
      <c r="Z8">
        <v>4.7523877612547949E-2</v>
      </c>
      <c r="AA8">
        <v>3.3241530474575093E-2</v>
      </c>
      <c r="AB8">
        <v>16</v>
      </c>
      <c r="AE8">
        <v>6</v>
      </c>
      <c r="AF8">
        <v>4.9234229000944651E-2</v>
      </c>
      <c r="AG8">
        <v>3.4265809552960637E-2</v>
      </c>
      <c r="AH8">
        <v>11</v>
      </c>
      <c r="AJ8">
        <v>6</v>
      </c>
      <c r="AK8">
        <v>4.3321356632077368E-2</v>
      </c>
      <c r="AL8">
        <v>3.5411732621264048E-2</v>
      </c>
      <c r="AM8">
        <v>9</v>
      </c>
      <c r="AP8">
        <v>4.0955601380247272E-2</v>
      </c>
      <c r="AR8">
        <v>4.498778090808047E-2</v>
      </c>
      <c r="AT8">
        <v>7.1462001928844138E-2</v>
      </c>
    </row>
    <row r="9" spans="1:46" x14ac:dyDescent="0.3">
      <c r="A9" t="s">
        <v>21</v>
      </c>
      <c r="B9" t="s">
        <v>28</v>
      </c>
      <c r="C9">
        <v>4141.489989223448</v>
      </c>
      <c r="D9">
        <v>1333.6257887877839</v>
      </c>
      <c r="E9">
        <v>8137.8286598017503</v>
      </c>
      <c r="F9">
        <v>4475.7479966463543</v>
      </c>
      <c r="G9">
        <v>18.175623000000002</v>
      </c>
      <c r="H9">
        <v>0.97572655418744103</v>
      </c>
      <c r="I9">
        <v>350.01821381179582</v>
      </c>
      <c r="J9">
        <v>21.5</v>
      </c>
      <c r="K9">
        <v>4307.7282748361195</v>
      </c>
      <c r="L9">
        <v>4176871895.955471</v>
      </c>
      <c r="M9">
        <v>8000000</v>
      </c>
      <c r="N9">
        <v>2464.95689617486</v>
      </c>
      <c r="O9">
        <v>2464.95689617486</v>
      </c>
      <c r="P9">
        <v>2464.95689617486</v>
      </c>
      <c r="Q9">
        <v>9301.6085673737743</v>
      </c>
      <c r="R9">
        <v>2613.6543904545638</v>
      </c>
      <c r="S9">
        <v>11795.99737205051</v>
      </c>
      <c r="T9">
        <v>7747916.666666667</v>
      </c>
      <c r="U9">
        <v>4.5</v>
      </c>
      <c r="V9">
        <v>6.5975999198740101E-2</v>
      </c>
      <c r="Y9">
        <v>7</v>
      </c>
      <c r="Z9">
        <v>4.4431568210711703E-2</v>
      </c>
      <c r="AA9">
        <v>3.107855256995197E-2</v>
      </c>
      <c r="AB9">
        <v>25</v>
      </c>
      <c r="AE9">
        <v>7</v>
      </c>
      <c r="AF9">
        <v>4.5297935852090632E-2</v>
      </c>
      <c r="AG9">
        <v>3.1526246567610203E-2</v>
      </c>
      <c r="AH9">
        <v>25</v>
      </c>
      <c r="AJ9">
        <v>7</v>
      </c>
      <c r="AK9">
        <v>3.7568590643786592E-2</v>
      </c>
      <c r="AL9">
        <v>3.0709308070246789E-2</v>
      </c>
      <c r="AM9">
        <v>22</v>
      </c>
      <c r="AP9">
        <v>3.4693677608246737E-2</v>
      </c>
      <c r="AR9">
        <v>2.952738912594487E-2</v>
      </c>
      <c r="AT9">
        <v>7.1462001928844138E-2</v>
      </c>
    </row>
    <row r="10" spans="1:46" x14ac:dyDescent="0.3">
      <c r="A10" t="s">
        <v>21</v>
      </c>
      <c r="B10" t="s">
        <v>29</v>
      </c>
      <c r="C10">
        <v>17632.20418236086</v>
      </c>
      <c r="D10">
        <v>3316.661801032003</v>
      </c>
      <c r="E10">
        <v>18351.122536247709</v>
      </c>
      <c r="F10">
        <v>19517.539220130398</v>
      </c>
      <c r="G10">
        <v>30.686727999999999</v>
      </c>
      <c r="H10">
        <v>0.97749554791243964</v>
      </c>
      <c r="I10">
        <v>350.01928518297387</v>
      </c>
      <c r="J10">
        <v>20.399999999999981</v>
      </c>
      <c r="K10">
        <v>5170.6014416871476</v>
      </c>
      <c r="L10">
        <v>4538749987.2114639</v>
      </c>
      <c r="M10">
        <v>6750000</v>
      </c>
      <c r="N10">
        <v>2464.95689617486</v>
      </c>
      <c r="O10">
        <v>2464.95689617486</v>
      </c>
      <c r="P10">
        <v>2464.95689617486</v>
      </c>
      <c r="Q10">
        <v>16631.76605148007</v>
      </c>
      <c r="R10">
        <v>9301.6085673737743</v>
      </c>
      <c r="S10">
        <v>11640.009147867609</v>
      </c>
      <c r="T10">
        <v>7747916.666666667</v>
      </c>
      <c r="U10">
        <v>4.5</v>
      </c>
      <c r="V10">
        <v>2.145626890153125E-2</v>
      </c>
      <c r="Y10">
        <v>8</v>
      </c>
      <c r="Z10">
        <v>4.1825122432783253E-2</v>
      </c>
      <c r="AA10">
        <v>2.9255421733202659E-2</v>
      </c>
      <c r="AB10">
        <v>29</v>
      </c>
      <c r="AE10">
        <v>8</v>
      </c>
      <c r="AF10">
        <v>4.4059658050827011E-2</v>
      </c>
      <c r="AG10">
        <v>3.066443574670866E-2</v>
      </c>
      <c r="AH10">
        <v>28</v>
      </c>
      <c r="AJ10">
        <v>8</v>
      </c>
      <c r="AK10">
        <v>3.5238938668044277E-2</v>
      </c>
      <c r="AL10">
        <v>2.8805004528549741E-2</v>
      </c>
      <c r="AM10">
        <v>27</v>
      </c>
      <c r="AP10">
        <v>2.3063707730181859E-2</v>
      </c>
      <c r="AR10">
        <v>3.4105150419628381E-2</v>
      </c>
      <c r="AT10">
        <v>7.1462001928844124E-2</v>
      </c>
    </row>
    <row r="11" spans="1:46" x14ac:dyDescent="0.3">
      <c r="A11" t="s">
        <v>21</v>
      </c>
      <c r="B11" t="s">
        <v>30</v>
      </c>
      <c r="C11">
        <v>11148.653685228701</v>
      </c>
      <c r="D11">
        <v>2893.6669767372368</v>
      </c>
      <c r="E11">
        <v>16632.250558810822</v>
      </c>
      <c r="F11">
        <v>11640.009147867609</v>
      </c>
      <c r="G11">
        <v>19.074159000000002</v>
      </c>
      <c r="H11">
        <v>0.97961299368428234</v>
      </c>
      <c r="I11">
        <v>350.03071293816492</v>
      </c>
      <c r="J11">
        <v>19</v>
      </c>
      <c r="K11">
        <v>2494.8610099987882</v>
      </c>
      <c r="L11">
        <v>3796733464.6574459</v>
      </c>
      <c r="M11">
        <v>5875000</v>
      </c>
      <c r="N11">
        <v>2464.95689617486</v>
      </c>
      <c r="O11">
        <v>2464.95689617486</v>
      </c>
      <c r="P11">
        <v>2464.95689617486</v>
      </c>
      <c r="Q11">
        <v>11821.15933035946</v>
      </c>
      <c r="R11">
        <v>19517.539220130398</v>
      </c>
      <c r="S11">
        <v>7738.0931040132327</v>
      </c>
      <c r="T11">
        <v>7747916.666666667</v>
      </c>
      <c r="U11">
        <v>4.5</v>
      </c>
      <c r="V11">
        <v>1.3212438260802839E-2</v>
      </c>
      <c r="Y11">
        <v>9</v>
      </c>
      <c r="Z11">
        <v>4.8477430420462042E-2</v>
      </c>
      <c r="AA11">
        <v>3.3908512133391237E-2</v>
      </c>
      <c r="AB11">
        <v>10</v>
      </c>
      <c r="AE11">
        <v>9</v>
      </c>
      <c r="AF11">
        <v>4.9311757695619463E-2</v>
      </c>
      <c r="AG11">
        <v>3.4319767613044533E-2</v>
      </c>
      <c r="AH11">
        <v>10</v>
      </c>
      <c r="AJ11">
        <v>9</v>
      </c>
      <c r="AK11">
        <v>4.4796470108849462E-2</v>
      </c>
      <c r="AL11">
        <v>3.6617519514530412E-2</v>
      </c>
      <c r="AM11">
        <v>4</v>
      </c>
      <c r="AP11">
        <v>5.2887197460814828E-2</v>
      </c>
      <c r="AR11">
        <v>5.3824667060072759E-2</v>
      </c>
      <c r="AT11">
        <v>7.1462001928844138E-2</v>
      </c>
    </row>
    <row r="12" spans="1:46" x14ac:dyDescent="0.3">
      <c r="A12" t="s">
        <v>21</v>
      </c>
      <c r="B12" t="s">
        <v>31</v>
      </c>
      <c r="C12">
        <v>8005.8791871079366</v>
      </c>
      <c r="D12">
        <v>2306.263490976783</v>
      </c>
      <c r="E12">
        <v>13056.80743814286</v>
      </c>
      <c r="F12">
        <v>9301.6085673737743</v>
      </c>
      <c r="G12">
        <v>22.747772000000001</v>
      </c>
      <c r="H12">
        <v>0.96865675460436296</v>
      </c>
      <c r="I12">
        <v>350.01991371920542</v>
      </c>
      <c r="J12">
        <v>30.799999999999951</v>
      </c>
      <c r="K12">
        <v>4875.2108782104324</v>
      </c>
      <c r="L12">
        <v>4205897767.538928</v>
      </c>
      <c r="M12">
        <v>8750000</v>
      </c>
      <c r="N12">
        <v>2464.95689617486</v>
      </c>
      <c r="O12">
        <v>2464.95689617486</v>
      </c>
      <c r="P12">
        <v>2464.95689617486</v>
      </c>
      <c r="Q12">
        <v>10107.32507348248</v>
      </c>
      <c r="R12">
        <v>4475.7479966463543</v>
      </c>
      <c r="S12">
        <v>19517.539220130398</v>
      </c>
      <c r="T12">
        <v>7747916.666666667</v>
      </c>
      <c r="U12">
        <v>4.5</v>
      </c>
      <c r="V12">
        <v>3.5676599099017298E-2</v>
      </c>
      <c r="Y12">
        <v>10</v>
      </c>
      <c r="Z12">
        <v>4.7859598795184873E-2</v>
      </c>
      <c r="AA12">
        <v>3.3476357397044881E-2</v>
      </c>
      <c r="AB12">
        <v>15</v>
      </c>
      <c r="AE12">
        <v>10</v>
      </c>
      <c r="AF12">
        <v>4.9027903708719123E-2</v>
      </c>
      <c r="AG12">
        <v>3.4122212236361589E-2</v>
      </c>
      <c r="AH12">
        <v>12</v>
      </c>
      <c r="AJ12">
        <v>10</v>
      </c>
      <c r="AK12">
        <v>3.8278822339634637E-2</v>
      </c>
      <c r="AL12">
        <v>3.1289865487368292E-2</v>
      </c>
      <c r="AM12">
        <v>20</v>
      </c>
      <c r="AP12">
        <v>4.2200344032519148E-2</v>
      </c>
      <c r="AR12">
        <v>4.420045754536514E-2</v>
      </c>
      <c r="AT12">
        <v>7.1462001928844138E-2</v>
      </c>
    </row>
    <row r="13" spans="1:46" x14ac:dyDescent="0.3">
      <c r="A13" t="s">
        <v>21</v>
      </c>
      <c r="B13" t="s">
        <v>32</v>
      </c>
      <c r="C13">
        <v>15239.51696042866</v>
      </c>
      <c r="D13">
        <v>2332.2562129937969</v>
      </c>
      <c r="E13">
        <v>15379.17975881086</v>
      </c>
      <c r="F13">
        <v>16631.76605148007</v>
      </c>
      <c r="G13">
        <v>31.262076</v>
      </c>
      <c r="H13">
        <v>0.96146285998409053</v>
      </c>
      <c r="I13">
        <v>350.01855665092961</v>
      </c>
      <c r="J13">
        <v>19.5</v>
      </c>
      <c r="K13">
        <v>5484.410797125227</v>
      </c>
      <c r="L13">
        <v>4295234140.9403334</v>
      </c>
      <c r="M13">
        <v>5875000</v>
      </c>
      <c r="N13">
        <v>2464.95689617486</v>
      </c>
      <c r="O13">
        <v>2464.95689617486</v>
      </c>
      <c r="P13">
        <v>2464.95689617486</v>
      </c>
      <c r="Q13">
        <v>7905.8690866909301</v>
      </c>
      <c r="R13">
        <v>10107.32507348248</v>
      </c>
      <c r="S13">
        <v>11821.15933035946</v>
      </c>
      <c r="T13">
        <v>7747916.666666667</v>
      </c>
      <c r="U13">
        <v>4.5</v>
      </c>
      <c r="V13">
        <v>3.7185793771599612E-2</v>
      </c>
      <c r="Y13">
        <v>11</v>
      </c>
      <c r="Z13">
        <v>4.1825122432783253E-2</v>
      </c>
      <c r="AA13">
        <v>2.9255421733202659E-2</v>
      </c>
      <c r="AB13">
        <v>29</v>
      </c>
      <c r="AE13">
        <v>11</v>
      </c>
      <c r="AF13">
        <v>4.4464959311710572E-2</v>
      </c>
      <c r="AG13">
        <v>3.0946515431895659E-2</v>
      </c>
      <c r="AH13">
        <v>27</v>
      </c>
      <c r="AJ13">
        <v>11</v>
      </c>
      <c r="AK13">
        <v>3.4732667547359597E-2</v>
      </c>
      <c r="AL13">
        <v>2.8391168514322079E-2</v>
      </c>
      <c r="AM13">
        <v>30</v>
      </c>
      <c r="AP13">
        <v>2.4312333322310632E-2</v>
      </c>
      <c r="AR13">
        <v>2.4752999920152379E-2</v>
      </c>
      <c r="AT13">
        <v>7.1462001928844124E-2</v>
      </c>
    </row>
    <row r="14" spans="1:46" x14ac:dyDescent="0.3">
      <c r="A14" t="s">
        <v>21</v>
      </c>
      <c r="B14" t="s">
        <v>33</v>
      </c>
      <c r="C14">
        <v>10752.74852901421</v>
      </c>
      <c r="D14">
        <v>3424.9443681338789</v>
      </c>
      <c r="E14">
        <v>19973.910995512349</v>
      </c>
      <c r="F14">
        <v>11821.15933035946</v>
      </c>
      <c r="G14">
        <v>22.113437000000001</v>
      </c>
      <c r="H14">
        <v>0.95707890184596811</v>
      </c>
      <c r="I14">
        <v>350.01958516631612</v>
      </c>
      <c r="J14">
        <v>15</v>
      </c>
      <c r="K14">
        <v>2792.8090705158011</v>
      </c>
      <c r="L14">
        <v>4300511091.3129377</v>
      </c>
      <c r="M14">
        <v>6812500</v>
      </c>
      <c r="N14">
        <v>2464.95689617486</v>
      </c>
      <c r="O14">
        <v>2464.95689617486</v>
      </c>
      <c r="P14">
        <v>2464.95689617486</v>
      </c>
      <c r="Q14">
        <v>7684.7363759318459</v>
      </c>
      <c r="R14">
        <v>16631.76605148007</v>
      </c>
      <c r="S14">
        <v>11640.009147867609</v>
      </c>
      <c r="T14">
        <v>7747916.666666667</v>
      </c>
      <c r="U14">
        <v>4.5</v>
      </c>
      <c r="V14">
        <v>3.9017573911654439E-2</v>
      </c>
      <c r="Y14">
        <v>12</v>
      </c>
      <c r="Z14">
        <v>4.8418010817840702E-2</v>
      </c>
      <c r="AA14">
        <v>3.3866949899193359E-2</v>
      </c>
      <c r="AB14">
        <v>12</v>
      </c>
      <c r="AE14">
        <v>12</v>
      </c>
      <c r="AF14">
        <v>4.7517608931855193E-2</v>
      </c>
      <c r="AG14">
        <v>3.307108430680962E-2</v>
      </c>
      <c r="AH14">
        <v>18</v>
      </c>
      <c r="AJ14">
        <v>12</v>
      </c>
      <c r="AK14">
        <v>4.4719121706293663E-2</v>
      </c>
      <c r="AL14">
        <v>3.6554293402447847E-2</v>
      </c>
      <c r="AM14">
        <v>5</v>
      </c>
      <c r="AP14">
        <v>4.9560424852846487E-2</v>
      </c>
      <c r="AR14">
        <v>4.4077710928566889E-2</v>
      </c>
      <c r="AT14">
        <v>7.1462001928844124E-2</v>
      </c>
    </row>
    <row r="15" spans="1:46" x14ac:dyDescent="0.3">
      <c r="A15" t="s">
        <v>21</v>
      </c>
      <c r="B15" t="s">
        <v>34</v>
      </c>
      <c r="C15">
        <v>8704.8776599588437</v>
      </c>
      <c r="D15">
        <v>2630.5891859881958</v>
      </c>
      <c r="E15">
        <v>15645.86807386834</v>
      </c>
      <c r="F15">
        <v>10107.32507348248</v>
      </c>
      <c r="G15">
        <v>23.50479</v>
      </c>
      <c r="H15">
        <v>0.95575863472934663</v>
      </c>
      <c r="I15">
        <v>350.02248499203591</v>
      </c>
      <c r="J15">
        <v>24.299999999999951</v>
      </c>
      <c r="K15">
        <v>5725.8354620898317</v>
      </c>
      <c r="L15">
        <v>3864414884.7088318</v>
      </c>
      <c r="M15">
        <v>7937500</v>
      </c>
      <c r="N15">
        <v>2464.95689617486</v>
      </c>
      <c r="O15">
        <v>2464.95689617486</v>
      </c>
      <c r="P15">
        <v>2464.95689617486</v>
      </c>
      <c r="Q15">
        <v>6347.4783639264142</v>
      </c>
      <c r="R15">
        <v>9301.6085673737743</v>
      </c>
      <c r="S15">
        <v>16631.76605148007</v>
      </c>
      <c r="T15">
        <v>7747916.666666667</v>
      </c>
      <c r="U15">
        <v>4.5</v>
      </c>
      <c r="V15">
        <v>2.447486930123215E-2</v>
      </c>
      <c r="Y15">
        <v>13</v>
      </c>
      <c r="Z15">
        <v>4.4431568210711703E-2</v>
      </c>
      <c r="AA15">
        <v>3.107855256995197E-2</v>
      </c>
      <c r="AB15">
        <v>25</v>
      </c>
      <c r="AE15">
        <v>13</v>
      </c>
      <c r="AF15">
        <v>4.8370850159159318E-2</v>
      </c>
      <c r="AG15">
        <v>3.3664919165013178E-2</v>
      </c>
      <c r="AH15">
        <v>14</v>
      </c>
      <c r="AJ15">
        <v>13</v>
      </c>
      <c r="AK15">
        <v>3.4969462598382961E-2</v>
      </c>
      <c r="AL15">
        <v>2.8584729466350739E-2</v>
      </c>
      <c r="AM15">
        <v>29</v>
      </c>
      <c r="AP15">
        <v>3.6692316192877987E-2</v>
      </c>
      <c r="AR15">
        <v>4.0157830848424773E-2</v>
      </c>
      <c r="AT15">
        <v>7.1462001928844138E-2</v>
      </c>
    </row>
    <row r="16" spans="1:46" x14ac:dyDescent="0.3">
      <c r="A16" t="s">
        <v>21</v>
      </c>
      <c r="B16" t="s">
        <v>35</v>
      </c>
      <c r="C16">
        <v>7556.8693300553687</v>
      </c>
      <c r="D16">
        <v>2340.076645899554</v>
      </c>
      <c r="E16">
        <v>14277.7081265333</v>
      </c>
      <c r="F16">
        <v>7905.8690866909301</v>
      </c>
      <c r="G16">
        <v>18.395674</v>
      </c>
      <c r="H16">
        <v>0.95866859784534131</v>
      </c>
      <c r="I16">
        <v>350.02151362451991</v>
      </c>
      <c r="J16">
        <v>21.5</v>
      </c>
      <c r="K16">
        <v>3705.725524488912</v>
      </c>
      <c r="L16">
        <v>5903326700.2943592</v>
      </c>
      <c r="M16">
        <v>10750000</v>
      </c>
      <c r="N16">
        <v>2464.95689617486</v>
      </c>
      <c r="O16">
        <v>2464.95689617486</v>
      </c>
      <c r="P16">
        <v>3468.358761720016</v>
      </c>
      <c r="Q16">
        <v>16631.76605148007</v>
      </c>
      <c r="R16">
        <v>7684.7363759318459</v>
      </c>
      <c r="S16">
        <v>11821.15933035946</v>
      </c>
      <c r="T16">
        <v>7747916.666666667</v>
      </c>
      <c r="U16">
        <v>4.5</v>
      </c>
      <c r="V16">
        <v>2.6804640469970099E-2</v>
      </c>
      <c r="Y16">
        <v>14</v>
      </c>
      <c r="Z16">
        <v>5.2753699954337208E-2</v>
      </c>
      <c r="AA16">
        <v>3.6899634726263918E-2</v>
      </c>
      <c r="AB16">
        <v>3</v>
      </c>
      <c r="AE16">
        <v>14</v>
      </c>
      <c r="AF16">
        <v>4.7389117938052998E-2</v>
      </c>
      <c r="AG16">
        <v>3.2981657742969003E-2</v>
      </c>
      <c r="AH16">
        <v>19</v>
      </c>
      <c r="AJ16">
        <v>14</v>
      </c>
      <c r="AK16">
        <v>4.1208524424291681E-2</v>
      </c>
      <c r="AL16">
        <v>3.368466184065276E-2</v>
      </c>
      <c r="AM16">
        <v>14</v>
      </c>
      <c r="AP16">
        <v>4.5058453641245208E-2</v>
      </c>
      <c r="AR16">
        <v>4.7326521801813168E-2</v>
      </c>
      <c r="AT16">
        <v>7.1670716941801521E-2</v>
      </c>
    </row>
    <row r="17" spans="1:46" x14ac:dyDescent="0.3">
      <c r="A17" t="s">
        <v>21</v>
      </c>
      <c r="B17" t="s">
        <v>36</v>
      </c>
      <c r="C17">
        <v>8092.3681174891417</v>
      </c>
      <c r="D17">
        <v>2210.764154752545</v>
      </c>
      <c r="E17">
        <v>13301.67061965599</v>
      </c>
      <c r="F17">
        <v>7684.7363759318459</v>
      </c>
      <c r="G17">
        <v>15.983243</v>
      </c>
      <c r="H17">
        <v>0.94971733833991012</v>
      </c>
      <c r="I17">
        <v>350.01928518297387</v>
      </c>
      <c r="J17">
        <v>18.899999999999981</v>
      </c>
      <c r="K17">
        <v>2798.3840275167609</v>
      </c>
      <c r="L17">
        <v>4822942156.8294868</v>
      </c>
      <c r="M17">
        <v>7437500</v>
      </c>
      <c r="N17">
        <v>2464.95689617486</v>
      </c>
      <c r="O17">
        <v>2464.95689617486</v>
      </c>
      <c r="P17">
        <v>3818.376618407357</v>
      </c>
      <c r="Q17">
        <v>7905.8690866909301</v>
      </c>
      <c r="R17">
        <v>11821.15933035946</v>
      </c>
      <c r="S17">
        <v>16631.76605148007</v>
      </c>
      <c r="T17">
        <v>7747916.666666667</v>
      </c>
      <c r="U17">
        <v>4.5</v>
      </c>
      <c r="V17">
        <v>4.0015889525494799E-2</v>
      </c>
      <c r="Y17">
        <v>15</v>
      </c>
      <c r="Z17">
        <v>4.6908103977330029E-2</v>
      </c>
      <c r="AA17">
        <v>3.2810815240700078E-2</v>
      </c>
      <c r="AB17">
        <v>17</v>
      </c>
      <c r="AE17">
        <v>15</v>
      </c>
      <c r="AF17">
        <v>4.3943974841681673E-2</v>
      </c>
      <c r="AG17">
        <v>3.058392308522322E-2</v>
      </c>
      <c r="AH17">
        <v>29</v>
      </c>
      <c r="AJ17">
        <v>15</v>
      </c>
      <c r="AK17">
        <v>3.8212834879232098E-2</v>
      </c>
      <c r="AL17">
        <v>3.123592603381016E-2</v>
      </c>
      <c r="AM17">
        <v>21</v>
      </c>
      <c r="AP17">
        <v>4.0959843493206277E-2</v>
      </c>
      <c r="AR17">
        <v>4.0676637813050052E-2</v>
      </c>
      <c r="AT17">
        <v>7.1462001928844138E-2</v>
      </c>
    </row>
    <row r="18" spans="1:46" x14ac:dyDescent="0.3">
      <c r="A18" t="s">
        <v>21</v>
      </c>
      <c r="B18" t="s">
        <v>37</v>
      </c>
      <c r="C18">
        <v>6073.6420878885201</v>
      </c>
      <c r="D18">
        <v>1802.129442115463</v>
      </c>
      <c r="E18">
        <v>11131.890789028001</v>
      </c>
      <c r="F18">
        <v>6619.1188560127803</v>
      </c>
      <c r="G18">
        <v>18.519712999999999</v>
      </c>
      <c r="H18">
        <v>0.94856091992354308</v>
      </c>
      <c r="I18">
        <v>350.01808524703398</v>
      </c>
      <c r="J18">
        <v>17.899999999999981</v>
      </c>
      <c r="K18">
        <v>4049.3319809289628</v>
      </c>
      <c r="L18">
        <v>5350798312.6925917</v>
      </c>
      <c r="M18">
        <v>11437500</v>
      </c>
      <c r="N18">
        <v>2464.95689617486</v>
      </c>
      <c r="O18">
        <v>2464.95689617486</v>
      </c>
      <c r="P18">
        <v>3468.358761720016</v>
      </c>
      <c r="Q18">
        <v>8347.3537678126286</v>
      </c>
      <c r="R18">
        <v>6347.4783639264142</v>
      </c>
      <c r="S18">
        <v>5896.3634633468791</v>
      </c>
      <c r="T18">
        <v>7747916.666666667</v>
      </c>
      <c r="U18">
        <v>4.5</v>
      </c>
      <c r="V18">
        <v>3.1786473470194143E-2</v>
      </c>
      <c r="Y18">
        <v>16</v>
      </c>
      <c r="Z18">
        <v>4.9711556086549542E-2</v>
      </c>
      <c r="AA18">
        <v>3.4771746111753973E-2</v>
      </c>
      <c r="AB18">
        <v>9</v>
      </c>
      <c r="AE18">
        <v>16</v>
      </c>
      <c r="AF18">
        <v>4.5733611674748431E-2</v>
      </c>
      <c r="AG18">
        <v>3.1829466198930817E-2</v>
      </c>
      <c r="AH18">
        <v>24</v>
      </c>
      <c r="AJ18">
        <v>16</v>
      </c>
      <c r="AK18">
        <v>4.1656520363176242E-2</v>
      </c>
      <c r="AL18">
        <v>3.4050862570189598E-2</v>
      </c>
      <c r="AM18">
        <v>13</v>
      </c>
      <c r="AP18">
        <v>4.7311714822173417E-2</v>
      </c>
      <c r="AR18">
        <v>4.9495230668963129E-2</v>
      </c>
      <c r="AT18">
        <v>7.1462001928844124E-2</v>
      </c>
    </row>
    <row r="19" spans="1:46" x14ac:dyDescent="0.3">
      <c r="A19" t="s">
        <v>21</v>
      </c>
      <c r="B19" t="s">
        <v>38</v>
      </c>
      <c r="C19">
        <v>5724.0275553443407</v>
      </c>
      <c r="D19">
        <v>2122.2404655437372</v>
      </c>
      <c r="E19">
        <v>12115.059586805841</v>
      </c>
      <c r="F19">
        <v>5896.3634633468791</v>
      </c>
      <c r="G19">
        <v>17.631974</v>
      </c>
      <c r="H19">
        <v>0.93960483380930571</v>
      </c>
      <c r="I19">
        <v>350.02065653329657</v>
      </c>
      <c r="J19">
        <v>31.200000000000049</v>
      </c>
      <c r="K19">
        <v>1422.467683565206</v>
      </c>
      <c r="L19">
        <v>4350211377.0125914</v>
      </c>
      <c r="M19">
        <v>7812500</v>
      </c>
      <c r="N19">
        <v>2464.95689617486</v>
      </c>
      <c r="O19">
        <v>3468.358761720016</v>
      </c>
      <c r="P19">
        <v>5706.4010111452908</v>
      </c>
      <c r="Q19">
        <v>8347.3537678126286</v>
      </c>
      <c r="R19">
        <v>6619.1188560127803</v>
      </c>
      <c r="S19">
        <v>6347.4783639264142</v>
      </c>
      <c r="T19">
        <v>7747916.666666667</v>
      </c>
      <c r="U19">
        <v>4.5</v>
      </c>
      <c r="V19">
        <v>6.2009218566399259E-2</v>
      </c>
      <c r="Y19">
        <v>17</v>
      </c>
      <c r="Z19">
        <v>4.809908993775025E-2</v>
      </c>
      <c r="AA19">
        <v>3.3643874285689428E-2</v>
      </c>
      <c r="AB19">
        <v>14</v>
      </c>
      <c r="AE19">
        <v>17</v>
      </c>
      <c r="AF19">
        <v>4.9654172595069213E-2</v>
      </c>
      <c r="AG19">
        <v>3.4558079941088019E-2</v>
      </c>
      <c r="AH19">
        <v>6</v>
      </c>
      <c r="AJ19">
        <v>17</v>
      </c>
      <c r="AK19">
        <v>4.7078087083718863E-2</v>
      </c>
      <c r="AL19">
        <v>3.8482558297696923E-2</v>
      </c>
      <c r="AM19">
        <v>2</v>
      </c>
      <c r="AP19">
        <v>5.4194941943855303E-2</v>
      </c>
      <c r="AR19">
        <v>5.1195454503881549E-2</v>
      </c>
      <c r="AT19">
        <v>7.1462001928844138E-2</v>
      </c>
    </row>
    <row r="20" spans="1:46" x14ac:dyDescent="0.3">
      <c r="A20" t="s">
        <v>21</v>
      </c>
      <c r="B20" t="s">
        <v>39</v>
      </c>
      <c r="C20">
        <v>8148.8127514740581</v>
      </c>
      <c r="D20">
        <v>1826.9311896750839</v>
      </c>
      <c r="E20">
        <v>11101.91109567238</v>
      </c>
      <c r="F20">
        <v>8347.3537678126286</v>
      </c>
      <c r="G20">
        <v>23.284230000000001</v>
      </c>
      <c r="H20">
        <v>0.92691624331146005</v>
      </c>
      <c r="I20">
        <v>350.01798525218669</v>
      </c>
      <c r="J20">
        <v>28.299999999999951</v>
      </c>
      <c r="K20">
        <v>2705.647962422594</v>
      </c>
      <c r="L20">
        <v>5608089337.3361111</v>
      </c>
      <c r="M20">
        <v>10125000</v>
      </c>
      <c r="N20">
        <v>2464.95689617486</v>
      </c>
      <c r="O20">
        <v>2464.95689617486</v>
      </c>
      <c r="P20">
        <v>3468.358761720016</v>
      </c>
      <c r="Q20">
        <v>5896.3634633468791</v>
      </c>
      <c r="R20">
        <v>6619.1188560127803</v>
      </c>
      <c r="S20">
        <v>6347.4783639264142</v>
      </c>
      <c r="T20">
        <v>7747916.666666667</v>
      </c>
      <c r="U20">
        <v>4.5</v>
      </c>
      <c r="V20">
        <v>2.9478004009466811E-2</v>
      </c>
      <c r="Y20">
        <v>18</v>
      </c>
      <c r="Z20">
        <v>5.4950330213614507E-2</v>
      </c>
      <c r="AA20">
        <v>3.8436111869405563E-2</v>
      </c>
      <c r="AB20">
        <v>1</v>
      </c>
      <c r="AE20">
        <v>18</v>
      </c>
      <c r="AF20">
        <v>5.4278256728366607E-2</v>
      </c>
      <c r="AG20">
        <v>3.777632849465825E-2</v>
      </c>
      <c r="AH20">
        <v>1</v>
      </c>
      <c r="AJ20">
        <v>18</v>
      </c>
      <c r="AK20">
        <v>5.2871736319502823E-2</v>
      </c>
      <c r="AL20">
        <v>4.3218401622766273E-2</v>
      </c>
      <c r="AM20">
        <v>1</v>
      </c>
      <c r="AP20">
        <v>6.1432311052093951E-2</v>
      </c>
      <c r="AR20">
        <v>5.7989753250738511E-2</v>
      </c>
      <c r="AT20">
        <v>7.1670716941801521E-2</v>
      </c>
    </row>
    <row r="21" spans="1:46" x14ac:dyDescent="0.3">
      <c r="A21" t="s">
        <v>21</v>
      </c>
      <c r="B21" t="s">
        <v>40</v>
      </c>
      <c r="C21">
        <v>5391.5202854436666</v>
      </c>
      <c r="D21">
        <v>1781.0870426802569</v>
      </c>
      <c r="E21">
        <v>11238.443348619759</v>
      </c>
      <c r="F21">
        <v>5058.7890083859993</v>
      </c>
      <c r="G21">
        <v>15.314016000000001</v>
      </c>
      <c r="H21">
        <v>1.0045876927384689</v>
      </c>
      <c r="I21">
        <v>350.01808524703398</v>
      </c>
      <c r="J21">
        <v>39</v>
      </c>
      <c r="K21">
        <v>3003.7011996759702</v>
      </c>
      <c r="L21">
        <v>4578679813.4793987</v>
      </c>
      <c r="M21">
        <v>7187500</v>
      </c>
      <c r="N21">
        <v>2464.95689617486</v>
      </c>
      <c r="O21">
        <v>2464.95689617486</v>
      </c>
      <c r="P21">
        <v>3818.376618407357</v>
      </c>
      <c r="Q21">
        <v>4944.7514145285004</v>
      </c>
      <c r="R21">
        <v>10903.44028995744</v>
      </c>
      <c r="S21">
        <v>7822.8545274447242</v>
      </c>
      <c r="T21">
        <v>7747916.666666667</v>
      </c>
      <c r="U21">
        <v>4.5</v>
      </c>
      <c r="V21">
        <v>2.7146504337048641E-2</v>
      </c>
      <c r="Y21">
        <v>19</v>
      </c>
      <c r="Z21">
        <v>4.6908103977330029E-2</v>
      </c>
      <c r="AA21">
        <v>3.2810815240700078E-2</v>
      </c>
      <c r="AB21">
        <v>17</v>
      </c>
      <c r="AE21">
        <v>19</v>
      </c>
      <c r="AF21">
        <v>4.7727923877754819E-2</v>
      </c>
      <c r="AG21">
        <v>3.321745832400403E-2</v>
      </c>
      <c r="AH21">
        <v>17</v>
      </c>
      <c r="AJ21">
        <v>19</v>
      </c>
      <c r="AK21">
        <v>4.0442759771394783E-2</v>
      </c>
      <c r="AL21">
        <v>3.3058710687518249E-2</v>
      </c>
      <c r="AM21">
        <v>17</v>
      </c>
      <c r="AP21">
        <v>4.56272404767816E-2</v>
      </c>
      <c r="AR21">
        <v>4.9440095308092742E-2</v>
      </c>
      <c r="AT21">
        <v>7.1462001928844124E-2</v>
      </c>
    </row>
    <row r="22" spans="1:46" x14ac:dyDescent="0.3">
      <c r="A22" t="s">
        <v>21</v>
      </c>
      <c r="B22" t="s">
        <v>41</v>
      </c>
      <c r="C22">
        <v>4915.2856446941196</v>
      </c>
      <c r="D22">
        <v>1135.7002328899241</v>
      </c>
      <c r="E22">
        <v>6316.7720271857488</v>
      </c>
      <c r="F22">
        <v>4944.7514145285004</v>
      </c>
      <c r="G22">
        <v>21.324114999999999</v>
      </c>
      <c r="H22">
        <v>1.0120978057002601</v>
      </c>
      <c r="I22">
        <v>350.0247705520282</v>
      </c>
      <c r="J22">
        <v>30.200000000000049</v>
      </c>
      <c r="K22">
        <v>3723.878275590303</v>
      </c>
      <c r="L22">
        <v>4039104145.291193</v>
      </c>
      <c r="M22">
        <v>7687500</v>
      </c>
      <c r="N22">
        <v>2464.95689617486</v>
      </c>
      <c r="O22">
        <v>2464.95689617486</v>
      </c>
      <c r="P22">
        <v>2464.95689617486</v>
      </c>
      <c r="Q22">
        <v>2519.30407538289</v>
      </c>
      <c r="R22">
        <v>7822.8545274447242</v>
      </c>
      <c r="S22">
        <v>5058.7890083859993</v>
      </c>
      <c r="T22">
        <v>7747916.666666667</v>
      </c>
      <c r="U22">
        <v>4.5</v>
      </c>
      <c r="V22">
        <v>1.1513803418284471E-3</v>
      </c>
      <c r="Y22">
        <v>20</v>
      </c>
      <c r="Z22">
        <v>4.4431568210711703E-2</v>
      </c>
      <c r="AA22">
        <v>3.107855256995197E-2</v>
      </c>
      <c r="AB22">
        <v>25</v>
      </c>
      <c r="AE22">
        <v>20</v>
      </c>
      <c r="AF22">
        <v>4.7770349481027097E-2</v>
      </c>
      <c r="AG22">
        <v>3.3246985497911219E-2</v>
      </c>
      <c r="AH22">
        <v>16</v>
      </c>
      <c r="AJ22">
        <v>20</v>
      </c>
      <c r="AK22">
        <v>4.1174185102136107E-2</v>
      </c>
      <c r="AL22">
        <v>3.3656592200431282E-2</v>
      </c>
      <c r="AM22">
        <v>15</v>
      </c>
      <c r="AP22">
        <v>3.3452526629273553E-2</v>
      </c>
      <c r="AR22">
        <v>3.3237966863373207E-2</v>
      </c>
      <c r="AT22">
        <v>7.1462001928844138E-2</v>
      </c>
    </row>
    <row r="23" spans="1:46" x14ac:dyDescent="0.3">
      <c r="A23" t="s">
        <v>21</v>
      </c>
      <c r="B23" t="s">
        <v>42</v>
      </c>
      <c r="C23">
        <v>2412.7485598099829</v>
      </c>
      <c r="D23">
        <v>664.59423012470995</v>
      </c>
      <c r="E23">
        <v>4048.0042295889002</v>
      </c>
      <c r="F23">
        <v>2519.30407538289</v>
      </c>
      <c r="G23">
        <v>19.263383999999999</v>
      </c>
      <c r="H23">
        <v>1.0021714772440811</v>
      </c>
      <c r="I23">
        <v>350.02248499203591</v>
      </c>
      <c r="J23">
        <v>31.200000000000049</v>
      </c>
      <c r="K23">
        <v>3933.1322667969589</v>
      </c>
      <c r="L23">
        <v>3856928467.994473</v>
      </c>
      <c r="M23">
        <v>8562500</v>
      </c>
      <c r="N23">
        <v>2464.95689617486</v>
      </c>
      <c r="O23">
        <v>2464.95689617486</v>
      </c>
      <c r="P23">
        <v>2464.95689617486</v>
      </c>
      <c r="Q23">
        <v>2233.1667411011758</v>
      </c>
      <c r="R23">
        <v>4944.7514145285004</v>
      </c>
      <c r="S23">
        <v>4242.1839058972782</v>
      </c>
      <c r="T23">
        <v>7747916.666666667</v>
      </c>
      <c r="U23">
        <v>4.5</v>
      </c>
      <c r="V23">
        <v>1.4708337689194209E-3</v>
      </c>
      <c r="Y23">
        <v>21</v>
      </c>
      <c r="Z23">
        <v>4.4431568210711703E-2</v>
      </c>
      <c r="AA23">
        <v>3.107855256995197E-2</v>
      </c>
      <c r="AB23">
        <v>25</v>
      </c>
      <c r="AE23">
        <v>21</v>
      </c>
      <c r="AF23">
        <v>4.9485601060496258E-2</v>
      </c>
      <c r="AG23">
        <v>3.4440758309025571E-2</v>
      </c>
      <c r="AH23">
        <v>8</v>
      </c>
      <c r="AJ23">
        <v>21</v>
      </c>
      <c r="AK23">
        <v>4.0373710824496811E-2</v>
      </c>
      <c r="AL23">
        <v>3.3002268714426387E-2</v>
      </c>
      <c r="AM23">
        <v>18</v>
      </c>
      <c r="AP23">
        <v>3.5585373935208192E-2</v>
      </c>
      <c r="AR23">
        <v>3.8132387163653692E-2</v>
      </c>
      <c r="AT23">
        <v>7.1462001928844138E-2</v>
      </c>
    </row>
    <row r="24" spans="1:46" x14ac:dyDescent="0.3">
      <c r="A24" t="s">
        <v>21</v>
      </c>
      <c r="B24" t="s">
        <v>43</v>
      </c>
      <c r="C24">
        <v>2010.9454367611411</v>
      </c>
      <c r="D24">
        <v>842.80993762996195</v>
      </c>
      <c r="E24">
        <v>5236.2980618574693</v>
      </c>
      <c r="F24">
        <v>2233.1667411011758</v>
      </c>
      <c r="G24">
        <v>16.876877</v>
      </c>
      <c r="H24">
        <v>0.98767396361305471</v>
      </c>
      <c r="I24">
        <v>350.03436974102988</v>
      </c>
      <c r="J24">
        <v>16.299999999999951</v>
      </c>
      <c r="K24">
        <v>3978.178858017789</v>
      </c>
      <c r="L24">
        <v>3423721390.7951188</v>
      </c>
      <c r="M24">
        <v>8312500</v>
      </c>
      <c r="N24">
        <v>2464.95689617486</v>
      </c>
      <c r="O24">
        <v>2464.95689617486</v>
      </c>
      <c r="P24">
        <v>2464.95689617486</v>
      </c>
      <c r="Q24">
        <v>2613.6543904545638</v>
      </c>
      <c r="R24">
        <v>2238.3947392111199</v>
      </c>
      <c r="S24">
        <v>2519.30407538289</v>
      </c>
      <c r="T24">
        <v>7747916.666666667</v>
      </c>
      <c r="U24">
        <v>4.5</v>
      </c>
      <c r="V24">
        <v>2.5058438310022579E-2</v>
      </c>
      <c r="Y24">
        <v>22</v>
      </c>
      <c r="Z24">
        <v>4.9747323268093169E-2</v>
      </c>
      <c r="AA24">
        <v>3.4796764185088917E-2</v>
      </c>
      <c r="AB24">
        <v>7</v>
      </c>
      <c r="AE24">
        <v>22</v>
      </c>
      <c r="AF24">
        <v>5.095064852115172E-2</v>
      </c>
      <c r="AG24">
        <v>3.5460395222033897E-2</v>
      </c>
      <c r="AH24">
        <v>2</v>
      </c>
      <c r="AJ24">
        <v>22</v>
      </c>
      <c r="AK24">
        <v>4.3567306373006431E-2</v>
      </c>
      <c r="AL24">
        <v>3.5612776797650722E-2</v>
      </c>
      <c r="AM24">
        <v>8</v>
      </c>
      <c r="AP24">
        <v>4.2315461357063031E-2</v>
      </c>
      <c r="AR24">
        <v>4.0730932046103313E-2</v>
      </c>
      <c r="AT24">
        <v>7.1462001928844138E-2</v>
      </c>
    </row>
    <row r="25" spans="1:46" x14ac:dyDescent="0.3">
      <c r="A25" t="s">
        <v>21</v>
      </c>
      <c r="B25" t="s">
        <v>44</v>
      </c>
      <c r="C25">
        <v>5790.0135151025643</v>
      </c>
      <c r="D25">
        <v>2113.9746872580722</v>
      </c>
      <c r="E25">
        <v>12494.63576942578</v>
      </c>
      <c r="F25">
        <v>6347.4783639264142</v>
      </c>
      <c r="G25">
        <v>16.081061999999999</v>
      </c>
      <c r="H25">
        <v>0.96058885911888159</v>
      </c>
      <c r="I25">
        <v>350.01798525218669</v>
      </c>
      <c r="J25">
        <v>24.399999999999981</v>
      </c>
      <c r="K25">
        <v>3271.5937525031118</v>
      </c>
      <c r="L25">
        <v>5005173358.1339865</v>
      </c>
      <c r="M25">
        <v>10062500</v>
      </c>
      <c r="N25">
        <v>2464.95689617486</v>
      </c>
      <c r="O25">
        <v>2464.95689617486</v>
      </c>
      <c r="P25">
        <v>3468.358761720016</v>
      </c>
      <c r="Q25">
        <v>6619.1188560127803</v>
      </c>
      <c r="R25">
        <v>10107.32507348248</v>
      </c>
      <c r="S25">
        <v>8347.3537678126286</v>
      </c>
      <c r="T25">
        <v>7747916.666666667</v>
      </c>
      <c r="U25">
        <v>4.5</v>
      </c>
      <c r="V25">
        <v>8.8944021358026426E-3</v>
      </c>
      <c r="Y25">
        <v>23</v>
      </c>
      <c r="Z25">
        <v>4.8256689009576803E-2</v>
      </c>
      <c r="AA25">
        <v>3.3754110121064607E-2</v>
      </c>
      <c r="AB25">
        <v>13</v>
      </c>
      <c r="AE25">
        <v>23</v>
      </c>
      <c r="AF25">
        <v>4.3942733134883838E-2</v>
      </c>
      <c r="AG25">
        <v>3.0583058887905249E-2</v>
      </c>
      <c r="AH25">
        <v>30</v>
      </c>
      <c r="AJ25">
        <v>23</v>
      </c>
      <c r="AK25">
        <v>4.2218449845677242E-2</v>
      </c>
      <c r="AL25">
        <v>3.451019482876426E-2</v>
      </c>
      <c r="AM25">
        <v>10</v>
      </c>
      <c r="AP25">
        <v>4.462968065602585E-2</v>
      </c>
      <c r="AR25">
        <v>4.1073738170085028E-2</v>
      </c>
      <c r="AT25">
        <v>7.1462001928844124E-2</v>
      </c>
    </row>
    <row r="26" spans="1:46" x14ac:dyDescent="0.3">
      <c r="A26" t="s">
        <v>21</v>
      </c>
      <c r="B26" t="s">
        <v>45</v>
      </c>
      <c r="C26">
        <v>3883.5796858783901</v>
      </c>
      <c r="D26">
        <v>644.04548383960594</v>
      </c>
      <c r="E26">
        <v>3821.9147013152251</v>
      </c>
      <c r="F26">
        <v>4242.1839058972782</v>
      </c>
      <c r="G26">
        <v>33.788744000000001</v>
      </c>
      <c r="H26">
        <v>1.0021402985562291</v>
      </c>
      <c r="I26">
        <v>350.01837094644048</v>
      </c>
      <c r="J26">
        <v>19.200000000000049</v>
      </c>
      <c r="K26">
        <v>5627.8569245378594</v>
      </c>
      <c r="L26">
        <v>3764768105.6511769</v>
      </c>
      <c r="M26">
        <v>7125000</v>
      </c>
      <c r="N26">
        <v>2464.95689617486</v>
      </c>
      <c r="O26">
        <v>2464.95689617486</v>
      </c>
      <c r="P26">
        <v>2464.95689617486</v>
      </c>
      <c r="Q26">
        <v>2519.30407538289</v>
      </c>
      <c r="R26">
        <v>2238.3947392111199</v>
      </c>
      <c r="S26">
        <v>6403.6695715015794</v>
      </c>
      <c r="T26">
        <v>7747916.666666667</v>
      </c>
      <c r="U26">
        <v>4.5</v>
      </c>
      <c r="V26">
        <v>5.1443215810278104E-3</v>
      </c>
      <c r="Y26">
        <v>24</v>
      </c>
      <c r="Z26">
        <v>4.9747323268093169E-2</v>
      </c>
      <c r="AA26">
        <v>3.4796764185088917E-2</v>
      </c>
      <c r="AB26">
        <v>7</v>
      </c>
      <c r="AE26">
        <v>24</v>
      </c>
      <c r="AF26">
        <v>5.0753715970305542E-2</v>
      </c>
      <c r="AG26">
        <v>3.5323335021864133E-2</v>
      </c>
      <c r="AH26">
        <v>3</v>
      </c>
      <c r="AJ26">
        <v>24</v>
      </c>
      <c r="AK26">
        <v>4.1006185445439769E-2</v>
      </c>
      <c r="AL26">
        <v>3.3519265962614668E-2</v>
      </c>
      <c r="AM26">
        <v>16</v>
      </c>
      <c r="AP26">
        <v>3.8533801945712098E-2</v>
      </c>
      <c r="AR26">
        <v>3.1944936207345669E-2</v>
      </c>
      <c r="AT26">
        <v>7.1462001928844138E-2</v>
      </c>
    </row>
    <row r="27" spans="1:46" x14ac:dyDescent="0.3">
      <c r="A27" t="s">
        <v>21</v>
      </c>
      <c r="B27" t="s">
        <v>46</v>
      </c>
      <c r="C27">
        <v>5728.1130175887256</v>
      </c>
      <c r="D27">
        <v>1726.6617591140471</v>
      </c>
      <c r="E27">
        <v>10111.32466384456</v>
      </c>
      <c r="F27">
        <v>6403.6695715015794</v>
      </c>
      <c r="G27">
        <v>25.332196</v>
      </c>
      <c r="H27">
        <v>0.99377843121062215</v>
      </c>
      <c r="I27">
        <v>350.01855665092961</v>
      </c>
      <c r="J27">
        <v>19.399999999999981</v>
      </c>
      <c r="K27">
        <v>2938.5744610682059</v>
      </c>
      <c r="L27">
        <v>4869192678.2704344</v>
      </c>
      <c r="M27">
        <v>9187500</v>
      </c>
      <c r="N27">
        <v>2464.95689617486</v>
      </c>
      <c r="O27">
        <v>2464.95689617486</v>
      </c>
      <c r="P27">
        <v>2464.95689617486</v>
      </c>
      <c r="Q27">
        <v>4242.1839058972782</v>
      </c>
      <c r="R27">
        <v>3807.7971121525702</v>
      </c>
      <c r="S27">
        <v>9145.7304484604028</v>
      </c>
      <c r="T27">
        <v>7747916.666666667</v>
      </c>
      <c r="U27">
        <v>4.5</v>
      </c>
      <c r="V27">
        <v>4.7703303997522338E-2</v>
      </c>
      <c r="Y27">
        <v>25</v>
      </c>
      <c r="Z27">
        <v>5.0075638646376319E-2</v>
      </c>
      <c r="AA27">
        <v>3.5026410968995073E-2</v>
      </c>
      <c r="AB27">
        <v>6</v>
      </c>
      <c r="AE27">
        <v>25</v>
      </c>
      <c r="AF27">
        <v>4.7013991740115557E-2</v>
      </c>
      <c r="AG27">
        <v>3.2720579157649747E-2</v>
      </c>
      <c r="AH27">
        <v>22</v>
      </c>
      <c r="AJ27">
        <v>25</v>
      </c>
      <c r="AK27">
        <v>4.4150267637633078E-2</v>
      </c>
      <c r="AL27">
        <v>3.6089300850367642E-2</v>
      </c>
      <c r="AM27">
        <v>6</v>
      </c>
      <c r="AP27">
        <v>4.7848894543986047E-2</v>
      </c>
      <c r="AR27">
        <v>4.0101157240040548E-2</v>
      </c>
      <c r="AT27">
        <v>7.1462001928844124E-2</v>
      </c>
    </row>
    <row r="28" spans="1:46" x14ac:dyDescent="0.3">
      <c r="A28" t="s">
        <v>21</v>
      </c>
      <c r="B28" t="s">
        <v>47</v>
      </c>
      <c r="C28">
        <v>7310.4800825896473</v>
      </c>
      <c r="D28">
        <v>932.32344630625016</v>
      </c>
      <c r="E28">
        <v>5892.1977007428759</v>
      </c>
      <c r="F28">
        <v>7822.8545274447242</v>
      </c>
      <c r="G28">
        <v>39.513908000000001</v>
      </c>
      <c r="H28">
        <v>1.0040083608029859</v>
      </c>
      <c r="I28">
        <v>350.01821381179582</v>
      </c>
      <c r="J28">
        <v>25</v>
      </c>
      <c r="K28">
        <v>5593.1243285410474</v>
      </c>
      <c r="L28">
        <v>4762928796.304369</v>
      </c>
      <c r="M28">
        <v>6812500</v>
      </c>
      <c r="N28">
        <v>2464.95689617486</v>
      </c>
      <c r="O28">
        <v>2464.95689617486</v>
      </c>
      <c r="P28">
        <v>2464.95689617486</v>
      </c>
      <c r="Q28">
        <v>4944.7514145285004</v>
      </c>
      <c r="R28">
        <v>4242.1839058972782</v>
      </c>
      <c r="S28">
        <v>9145.7304484604028</v>
      </c>
      <c r="T28">
        <v>7747916.666666667</v>
      </c>
      <c r="U28">
        <v>4.5</v>
      </c>
      <c r="V28">
        <v>6.4148058527494889E-2</v>
      </c>
      <c r="Y28">
        <v>26</v>
      </c>
      <c r="Z28">
        <v>4.4431568210711703E-2</v>
      </c>
      <c r="AA28">
        <v>3.107855256995197E-2</v>
      </c>
      <c r="AB28">
        <v>25</v>
      </c>
      <c r="AE28">
        <v>26</v>
      </c>
      <c r="AF28">
        <v>4.6232137029434739E-2</v>
      </c>
      <c r="AG28">
        <v>3.2176427555036857E-2</v>
      </c>
      <c r="AH28">
        <v>23</v>
      </c>
      <c r="AJ28">
        <v>26</v>
      </c>
      <c r="AK28">
        <v>3.5103036575492297E-2</v>
      </c>
      <c r="AL28">
        <v>2.8693915473675641E-2</v>
      </c>
      <c r="AM28">
        <v>28</v>
      </c>
      <c r="AP28">
        <v>2.4868852505539329E-2</v>
      </c>
      <c r="AR28">
        <v>2.532670810969484E-2</v>
      </c>
      <c r="AT28">
        <v>7.1462001928844124E-2</v>
      </c>
    </row>
    <row r="29" spans="1:46" x14ac:dyDescent="0.3">
      <c r="A29" t="s">
        <v>21</v>
      </c>
      <c r="B29" t="s">
        <v>48</v>
      </c>
      <c r="C29">
        <v>8319.9669728648587</v>
      </c>
      <c r="D29">
        <v>2330.5265084831599</v>
      </c>
      <c r="E29">
        <v>13525.182063847709</v>
      </c>
      <c r="F29">
        <v>9145.7304484604028</v>
      </c>
      <c r="G29">
        <v>27.903236</v>
      </c>
      <c r="H29">
        <v>0.99116321132072283</v>
      </c>
      <c r="I29">
        <v>350.02151362451991</v>
      </c>
      <c r="J29">
        <v>14.5</v>
      </c>
      <c r="K29">
        <v>2934.0011872144091</v>
      </c>
      <c r="L29">
        <v>5124975982.9964619</v>
      </c>
      <c r="M29">
        <v>8750000</v>
      </c>
      <c r="N29">
        <v>2464.95689617486</v>
      </c>
      <c r="O29">
        <v>2464.95689617486</v>
      </c>
      <c r="P29">
        <v>2464.95689617486</v>
      </c>
      <c r="Q29">
        <v>6403.6695715015794</v>
      </c>
      <c r="R29">
        <v>7822.8545274447242</v>
      </c>
      <c r="S29">
        <v>5290.8910608252208</v>
      </c>
      <c r="T29">
        <v>7747916.666666667</v>
      </c>
      <c r="U29">
        <v>4.5</v>
      </c>
      <c r="V29">
        <v>6.7687192642626709E-2</v>
      </c>
      <c r="Y29">
        <v>27</v>
      </c>
      <c r="Z29">
        <v>5.1177527027903118E-2</v>
      </c>
      <c r="AA29">
        <v>3.5797148923349877E-2</v>
      </c>
      <c r="AB29">
        <v>5</v>
      </c>
      <c r="AE29">
        <v>27</v>
      </c>
      <c r="AF29">
        <v>4.9328258470865187E-2</v>
      </c>
      <c r="AG29">
        <v>3.4331251745801747E-2</v>
      </c>
      <c r="AH29">
        <v>9</v>
      </c>
      <c r="AJ29">
        <v>27</v>
      </c>
      <c r="AK29">
        <v>4.6476373074256123E-2</v>
      </c>
      <c r="AL29">
        <v>3.7990705380935172E-2</v>
      </c>
      <c r="AM29">
        <v>3</v>
      </c>
      <c r="AP29">
        <v>4.9438027722671023E-2</v>
      </c>
      <c r="AR29">
        <v>4.9270612062559609E-2</v>
      </c>
      <c r="AT29">
        <v>7.1462001928844124E-2</v>
      </c>
    </row>
    <row r="30" spans="1:46" x14ac:dyDescent="0.3">
      <c r="A30" t="s">
        <v>21</v>
      </c>
      <c r="B30" t="s">
        <v>49</v>
      </c>
      <c r="C30">
        <v>10099.59613472485</v>
      </c>
      <c r="D30">
        <v>2507.1875211928318</v>
      </c>
      <c r="E30">
        <v>14125.72267699803</v>
      </c>
      <c r="F30">
        <v>10903.44028995744</v>
      </c>
      <c r="G30">
        <v>26.167707</v>
      </c>
      <c r="H30">
        <v>1.0067765968183611</v>
      </c>
      <c r="I30">
        <v>350.01837094644048</v>
      </c>
      <c r="J30">
        <v>20.799999999999951</v>
      </c>
      <c r="K30">
        <v>3691.5333999756558</v>
      </c>
      <c r="L30">
        <v>5941961488.8658247</v>
      </c>
      <c r="M30">
        <v>9562500</v>
      </c>
      <c r="N30">
        <v>2464.95689617486</v>
      </c>
      <c r="O30">
        <v>2464.95689617486</v>
      </c>
      <c r="P30">
        <v>2464.95689617486</v>
      </c>
      <c r="Q30">
        <v>5058.7890083859993</v>
      </c>
      <c r="R30">
        <v>7822.8545274447242</v>
      </c>
      <c r="S30">
        <v>5290.8910608252208</v>
      </c>
      <c r="T30">
        <v>7747916.666666667</v>
      </c>
      <c r="U30">
        <v>4.5</v>
      </c>
      <c r="V30">
        <v>3.9701703057687242E-2</v>
      </c>
      <c r="Y30">
        <v>28</v>
      </c>
      <c r="Z30">
        <v>5.4412626486737281E-2</v>
      </c>
      <c r="AA30">
        <v>3.8060004200561583E-2</v>
      </c>
      <c r="AB30">
        <v>2</v>
      </c>
      <c r="AE30">
        <v>28</v>
      </c>
      <c r="AF30">
        <v>4.9585940286107189E-2</v>
      </c>
      <c r="AG30">
        <v>3.4510591936265059E-2</v>
      </c>
      <c r="AH30">
        <v>7</v>
      </c>
      <c r="AJ30">
        <v>28</v>
      </c>
      <c r="AK30">
        <v>4.4134638134892157E-2</v>
      </c>
      <c r="AL30">
        <v>3.6076524986103607E-2</v>
      </c>
      <c r="AM30">
        <v>7</v>
      </c>
      <c r="AP30">
        <v>5.0831966917185591E-2</v>
      </c>
      <c r="AR30">
        <v>5.0492763373525582E-2</v>
      </c>
      <c r="AT30">
        <v>7.1670716941801521E-2</v>
      </c>
    </row>
    <row r="31" spans="1:46" x14ac:dyDescent="0.3">
      <c r="A31" t="s">
        <v>21</v>
      </c>
      <c r="B31" t="s">
        <v>50</v>
      </c>
      <c r="C31">
        <v>5293.2977064035731</v>
      </c>
      <c r="D31">
        <v>1914.5906153165749</v>
      </c>
      <c r="E31">
        <v>11332.202566661859</v>
      </c>
      <c r="F31">
        <v>5290.8910608252208</v>
      </c>
      <c r="G31">
        <v>16.989720999999999</v>
      </c>
      <c r="H31">
        <v>0.99842646032857152</v>
      </c>
      <c r="I31">
        <v>350.01808524703398</v>
      </c>
      <c r="J31">
        <v>29.5</v>
      </c>
      <c r="K31">
        <v>2000.1416912151351</v>
      </c>
      <c r="L31">
        <v>3852407442.1246362</v>
      </c>
      <c r="M31">
        <v>6375000</v>
      </c>
      <c r="N31">
        <v>2464.95689617486</v>
      </c>
      <c r="O31">
        <v>2464.95689617486</v>
      </c>
      <c r="P31">
        <v>3468.358761720016</v>
      </c>
      <c r="Q31">
        <v>10903.44028995744</v>
      </c>
      <c r="R31">
        <v>9145.7304484604028</v>
      </c>
      <c r="S31">
        <v>7822.8545274447242</v>
      </c>
      <c r="T31">
        <v>7747916.666666667</v>
      </c>
      <c r="U31">
        <v>4.5</v>
      </c>
      <c r="V31">
        <v>2.6133683447904239E-2</v>
      </c>
      <c r="Y31">
        <v>29</v>
      </c>
      <c r="Z31">
        <v>4.5954551169415943E-2</v>
      </c>
      <c r="AA31">
        <v>3.2143833581883927E-2</v>
      </c>
      <c r="AB31">
        <v>22</v>
      </c>
      <c r="AE31">
        <v>29</v>
      </c>
      <c r="AF31">
        <v>4.5172153672382358E-2</v>
      </c>
      <c r="AG31">
        <v>3.1438705271595237E-2</v>
      </c>
      <c r="AH31">
        <v>26</v>
      </c>
      <c r="AJ31">
        <v>29</v>
      </c>
      <c r="AK31">
        <v>3.7189238850260153E-2</v>
      </c>
      <c r="AL31">
        <v>3.039921842102726E-2</v>
      </c>
      <c r="AM31">
        <v>23</v>
      </c>
      <c r="AP31">
        <v>3.6555291072444512E-2</v>
      </c>
      <c r="AR31">
        <v>3.643969237100398E-2</v>
      </c>
      <c r="AT31">
        <v>7.1462001928844138E-2</v>
      </c>
    </row>
    <row r="32" spans="1:46" x14ac:dyDescent="0.3">
      <c r="A32" t="s">
        <v>21</v>
      </c>
      <c r="B32" t="s">
        <v>51</v>
      </c>
      <c r="C32">
        <v>3492.6110746105041</v>
      </c>
      <c r="D32">
        <v>1192.710332805925</v>
      </c>
      <c r="E32">
        <v>7214.9633939447813</v>
      </c>
      <c r="F32">
        <v>3807.7971121525702</v>
      </c>
      <c r="G32">
        <v>18.091657999999999</v>
      </c>
      <c r="H32">
        <v>1.008368995257372</v>
      </c>
      <c r="I32">
        <v>350.02357063489308</v>
      </c>
      <c r="J32">
        <v>19.100000000000019</v>
      </c>
      <c r="K32">
        <v>2632.01681517419</v>
      </c>
      <c r="L32">
        <v>3157232531.519084</v>
      </c>
      <c r="M32">
        <v>6937500</v>
      </c>
      <c r="N32">
        <v>2464.95689617486</v>
      </c>
      <c r="O32">
        <v>2464.95689617486</v>
      </c>
      <c r="P32">
        <v>2464.95689617486</v>
      </c>
      <c r="Q32">
        <v>2238.3947392111199</v>
      </c>
      <c r="R32">
        <v>5639.3302305057514</v>
      </c>
      <c r="S32">
        <v>6403.6695715015794</v>
      </c>
      <c r="T32">
        <v>7747916.666666667</v>
      </c>
      <c r="U32">
        <v>4.5</v>
      </c>
      <c r="V32">
        <v>1.9501891918614608E-2</v>
      </c>
      <c r="Y32">
        <v>30</v>
      </c>
      <c r="Z32">
        <v>5.195246814400889E-2</v>
      </c>
      <c r="AA32">
        <v>3.6339197047811633E-2</v>
      </c>
      <c r="AB32">
        <v>4</v>
      </c>
      <c r="AE32">
        <v>30</v>
      </c>
      <c r="AF32">
        <v>4.9677391069849357E-2</v>
      </c>
      <c r="AG32">
        <v>3.4574239427101527E-2</v>
      </c>
      <c r="AH32">
        <v>5</v>
      </c>
      <c r="AJ32">
        <v>30</v>
      </c>
      <c r="AK32">
        <v>4.2118653833313147E-2</v>
      </c>
      <c r="AL32">
        <v>3.4428619597025353E-2</v>
      </c>
      <c r="AM32">
        <v>12</v>
      </c>
      <c r="AP32">
        <v>4.4906655954404781E-2</v>
      </c>
      <c r="AR32">
        <v>3.7931054925070547E-2</v>
      </c>
      <c r="AT32">
        <v>7.1462001928844138E-2</v>
      </c>
    </row>
    <row r="33" spans="26:46" x14ac:dyDescent="0.3">
      <c r="Z33">
        <f>SUM(Z3:Z32)</f>
        <v>1.4296537173249817</v>
      </c>
      <c r="AA33">
        <f>SUM(AA3:AA32)</f>
        <v>0.99999999999999967</v>
      </c>
      <c r="AF33">
        <f>SUM(AF3:AF32)</f>
        <v>1.4368325057328377</v>
      </c>
      <c r="AG33">
        <f>SUM(AG3:AG32)</f>
        <v>1</v>
      </c>
      <c r="AK33">
        <f>SUM(AK3:AK32)</f>
        <v>1.2233616777639327</v>
      </c>
      <c r="AL33">
        <f>SUM(AL3:AL32)</f>
        <v>0.99999999999999978</v>
      </c>
      <c r="AP33">
        <f>SUM(AP3:AP32)</f>
        <v>1.2299721203418104</v>
      </c>
      <c r="AR33">
        <f>SUM(AR3:AR32)</f>
        <v>1.2213103215535988</v>
      </c>
      <c r="AT33">
        <f>SUM(AT3:AT32)</f>
        <v>2.1462178563072096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2025-02-17T19:07:52Z</dcterms:created>
  <dcterms:modified xsi:type="dcterms:W3CDTF">2025-02-18T18:55:55Z</dcterms:modified>
</cp:coreProperties>
</file>