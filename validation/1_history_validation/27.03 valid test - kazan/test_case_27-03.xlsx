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7.03 valid test - kazan\"/>
    </mc:Choice>
  </mc:AlternateContent>
  <xr:revisionPtr revIDLastSave="0" documentId="13_ncr:1_{75139B77-1F63-4BC1-BEA0-6C65BC2C866A}" xr6:coauthVersionLast="47" xr6:coauthVersionMax="47" xr10:uidLastSave="{00000000-0000-0000-0000-000000000000}"/>
  <bookViews>
    <workbookView xWindow="12204" yWindow="6600" windowWidth="36864" windowHeight="18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" i="1" l="1"/>
  <c r="W12" i="1"/>
  <c r="Y4" i="1"/>
  <c r="Y5" i="1"/>
  <c r="Y6" i="1"/>
  <c r="Y7" i="1"/>
  <c r="Y8" i="1"/>
  <c r="Y9" i="1"/>
  <c r="Y10" i="1"/>
  <c r="Y11" i="1"/>
  <c r="Y3" i="1"/>
  <c r="W4" i="1"/>
  <c r="W5" i="1"/>
  <c r="W6" i="1"/>
  <c r="W7" i="1"/>
  <c r="W8" i="1"/>
  <c r="W9" i="1"/>
  <c r="W10" i="1"/>
  <c r="W11" i="1"/>
  <c r="W3" i="1"/>
  <c r="X12" i="1"/>
  <c r="V12" i="1"/>
</calcChain>
</file>

<file path=xl/sharedStrings.xml><?xml version="1.0" encoding="utf-8"?>
<sst xmlns="http://schemas.openxmlformats.org/spreadsheetml/2006/main" count="23" uniqueCount="22">
  <si>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</si>
  <si>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</si>
  <si>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</si>
  <si>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</si>
  <si>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</si>
  <si>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</si>
  <si>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</si>
  <si>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</si>
  <si>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</si>
  <si>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</si>
  <si>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</si>
  <si>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</si>
  <si>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</si>
  <si>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</si>
  <si>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</si>
  <si>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</si>
  <si>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</si>
  <si>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</si>
  <si>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</si>
  <si>
    <t>Прогноз</t>
  </si>
  <si>
    <t>small</t>
  </si>
  <si>
    <t>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</si>
</sst>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2"/>
  <sheetViews>
    <sheetView tabSelected="1" workbookViewId="0">
      <selection activeCell="V10" sqref="V10"/>
    </sheetView>
  </sheetViews>
  <sheetFormatPr defaultRowHeight="14.4" x14ac:dyDescent="0.3"/>
  <sheetData>
    <row r="1" spans="2:25" x14ac:dyDescent="0.3">
      <c r="V1" t="s">
        <v>20</v>
      </c>
      <c r="X1" t="s">
        <v>21</v>
      </c>
    </row>
    <row r="2" spans="2:2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/>
      <c r="V2" s="1" t="s">
        <v>19</v>
      </c>
      <c r="X2" s="1" t="s">
        <v>19</v>
      </c>
    </row>
    <row r="3" spans="2:25" x14ac:dyDescent="0.3">
      <c r="B3">
        <v>7553.7482377022689</v>
      </c>
      <c r="C3">
        <v>2384.8709979929922</v>
      </c>
      <c r="D3">
        <v>11272.796199754481</v>
      </c>
      <c r="E3">
        <v>6115.3635109157613</v>
      </c>
      <c r="F3">
        <v>18.751253999999999</v>
      </c>
      <c r="G3">
        <v>0.98499209706188173</v>
      </c>
      <c r="H3">
        <v>59.615182629930622</v>
      </c>
      <c r="I3">
        <v>21.700000000000049</v>
      </c>
      <c r="J3">
        <v>2528.7834765214998</v>
      </c>
      <c r="K3">
        <v>3337594086.3086548</v>
      </c>
      <c r="L3">
        <v>7091200</v>
      </c>
      <c r="M3">
        <v>78.194181369204784</v>
      </c>
      <c r="N3">
        <v>124.06324999773371</v>
      </c>
      <c r="O3">
        <v>2183.3950650306051</v>
      </c>
      <c r="P3">
        <v>5271.4991280783152</v>
      </c>
      <c r="Q3">
        <v>3748.9129354087622</v>
      </c>
      <c r="R3">
        <v>3861.5303503378582</v>
      </c>
      <c r="S3">
        <v>14037333.33333333</v>
      </c>
      <c r="T3">
        <v>5.67E-2</v>
      </c>
      <c r="V3">
        <v>5.3779279450078848E-2</v>
      </c>
      <c r="W3">
        <f>V3/SUM($V$3:$V$11)</f>
        <v>0.10346070156777157</v>
      </c>
      <c r="X3">
        <v>6.0171097886019119E-2</v>
      </c>
      <c r="Y3">
        <f>X3/SUM($X$3:$X$11)</f>
        <v>0.10295623360388537</v>
      </c>
    </row>
    <row r="4" spans="2:25" x14ac:dyDescent="0.3">
      <c r="B4">
        <v>7313.5821821450572</v>
      </c>
      <c r="C4">
        <v>2110.6290440231101</v>
      </c>
      <c r="D4">
        <v>11098.765784089401</v>
      </c>
      <c r="E4">
        <v>5271.4991280783152</v>
      </c>
      <c r="F4">
        <v>15.663777</v>
      </c>
      <c r="G4">
        <v>1.0605804079054491</v>
      </c>
      <c r="H4">
        <v>119.24969601638389</v>
      </c>
      <c r="I4">
        <v>23.600000000000019</v>
      </c>
      <c r="J4">
        <v>2489.951618623586</v>
      </c>
      <c r="K4">
        <v>3304468705.119206</v>
      </c>
      <c r="L4">
        <v>10803200</v>
      </c>
      <c r="M4">
        <v>76.023285906358836</v>
      </c>
      <c r="N4">
        <v>78.194181369204784</v>
      </c>
      <c r="O4">
        <v>2906.591216528393</v>
      </c>
      <c r="P4">
        <v>3748.9129354087622</v>
      </c>
      <c r="Q4">
        <v>6115.3635109157613</v>
      </c>
      <c r="R4">
        <v>3861.5303503378582</v>
      </c>
      <c r="S4">
        <v>14037333.33333333</v>
      </c>
      <c r="T4">
        <v>5.67E-2</v>
      </c>
      <c r="V4">
        <v>5.6697172992573222E-2</v>
      </c>
      <c r="W4">
        <f t="shared" ref="W4:Y11" si="0">V4/SUM($V$3:$V$11)</f>
        <v>0.10907415187974102</v>
      </c>
      <c r="X4">
        <v>6.7262435688811545E-2</v>
      </c>
      <c r="Y4">
        <f t="shared" ref="Y4:Y11" si="1">X4/SUM($X$3:$X$11)</f>
        <v>0.11508992331603535</v>
      </c>
    </row>
    <row r="5" spans="2:25" x14ac:dyDescent="0.3">
      <c r="B5">
        <v>5054.2546743600342</v>
      </c>
      <c r="C5">
        <v>1650.556395063576</v>
      </c>
      <c r="D5">
        <v>8404.7124342658753</v>
      </c>
      <c r="E5">
        <v>3748.9129354087622</v>
      </c>
      <c r="F5">
        <v>17.013273999999999</v>
      </c>
      <c r="G5">
        <v>0.89754676260430533</v>
      </c>
      <c r="H5">
        <v>59.690116434800338</v>
      </c>
      <c r="I5">
        <v>20.700000000000049</v>
      </c>
      <c r="J5">
        <v>2779.4242865536971</v>
      </c>
      <c r="K5">
        <v>6779261751.3379154</v>
      </c>
      <c r="L5">
        <v>18918400</v>
      </c>
      <c r="M5">
        <v>76.023285906358836</v>
      </c>
      <c r="N5">
        <v>124.06324999773371</v>
      </c>
      <c r="O5">
        <v>2962.4721095733548</v>
      </c>
      <c r="P5">
        <v>5271.4991280783152</v>
      </c>
      <c r="Q5">
        <v>6115.3635109157613</v>
      </c>
      <c r="R5">
        <v>3861.5303503378582</v>
      </c>
      <c r="S5">
        <v>14037333.33333333</v>
      </c>
      <c r="T5">
        <v>5.67E-2</v>
      </c>
      <c r="V5">
        <v>5.2306919245879539E-2</v>
      </c>
      <c r="W5">
        <f t="shared" si="0"/>
        <v>0.10062817161860534</v>
      </c>
      <c r="X5">
        <v>6.0674235092020259E-2</v>
      </c>
      <c r="Y5">
        <f t="shared" si="1"/>
        <v>0.10381713050515157</v>
      </c>
    </row>
    <row r="6" spans="2:25" x14ac:dyDescent="0.3">
      <c r="B6">
        <v>11044.64834962388</v>
      </c>
      <c r="C6">
        <v>3714.7455064971891</v>
      </c>
      <c r="D6">
        <v>17517.213417555289</v>
      </c>
      <c r="E6">
        <v>9138.6958942842211</v>
      </c>
      <c r="F6">
        <v>19.584885</v>
      </c>
      <c r="G6">
        <v>0.93033428585360611</v>
      </c>
      <c r="H6">
        <v>119.56441778388719</v>
      </c>
      <c r="I6">
        <v>22.799999999999951</v>
      </c>
      <c r="J6">
        <v>3758.149135051196</v>
      </c>
      <c r="K6">
        <v>2556454594.202487</v>
      </c>
      <c r="L6">
        <v>4403200</v>
      </c>
      <c r="M6">
        <v>67.13158720006524</v>
      </c>
      <c r="N6">
        <v>139.89957112157271</v>
      </c>
      <c r="O6">
        <v>150</v>
      </c>
      <c r="P6">
        <v>4901.4464625342926</v>
      </c>
      <c r="Q6">
        <v>2662.8613661985419</v>
      </c>
      <c r="R6">
        <v>3593.740599279558</v>
      </c>
      <c r="S6">
        <v>14037333.33333333</v>
      </c>
      <c r="T6">
        <v>5.67E-2</v>
      </c>
      <c r="V6">
        <v>7.4825603957634837E-2</v>
      </c>
      <c r="W6">
        <f t="shared" si="0"/>
        <v>0.14394966908910073</v>
      </c>
      <c r="X6">
        <v>8.2470575078722755E-2</v>
      </c>
      <c r="Y6">
        <f t="shared" si="1"/>
        <v>0.14111193067036618</v>
      </c>
    </row>
    <row r="7" spans="2:25" x14ac:dyDescent="0.3">
      <c r="B7">
        <v>6514.6305650761606</v>
      </c>
      <c r="C7">
        <v>2384.0522335173841</v>
      </c>
      <c r="D7">
        <v>11575.428682574729</v>
      </c>
      <c r="E7">
        <v>4901.4464625342926</v>
      </c>
      <c r="F7">
        <v>15.25787</v>
      </c>
      <c r="G7">
        <v>0.93343258266062035</v>
      </c>
      <c r="H7">
        <v>59.902086775003141</v>
      </c>
      <c r="I7">
        <v>21.100000000000019</v>
      </c>
      <c r="J7">
        <v>2599.5999518497342</v>
      </c>
      <c r="K7">
        <v>4642126829.8200083</v>
      </c>
      <c r="L7">
        <v>13568000</v>
      </c>
      <c r="M7">
        <v>67.13158720006524</v>
      </c>
      <c r="N7">
        <v>86.711014294610436</v>
      </c>
      <c r="O7">
        <v>111.2054405143929</v>
      </c>
      <c r="P7">
        <v>9138.6958942842211</v>
      </c>
      <c r="Q7">
        <v>2662.8613661985419</v>
      </c>
      <c r="R7">
        <v>3593.740599279558</v>
      </c>
      <c r="S7">
        <v>14037333.33333333</v>
      </c>
      <c r="T7">
        <v>5.67E-2</v>
      </c>
      <c r="V7">
        <v>4.4601248396025313E-2</v>
      </c>
      <c r="W7">
        <f t="shared" si="0"/>
        <v>8.5803984304673675E-2</v>
      </c>
      <c r="X7">
        <v>6.3935448202920617E-2</v>
      </c>
      <c r="Y7">
        <f t="shared" si="1"/>
        <v>0.10939725502795716</v>
      </c>
    </row>
    <row r="8" spans="2:25" x14ac:dyDescent="0.3">
      <c r="B8">
        <v>4324.1687608586499</v>
      </c>
      <c r="C8">
        <v>2007.408872138436</v>
      </c>
      <c r="D8">
        <v>10649.243665510159</v>
      </c>
      <c r="E8">
        <v>3593.740599279558</v>
      </c>
      <c r="F8">
        <v>15.698622</v>
      </c>
      <c r="G8">
        <v>0.93163737556073389</v>
      </c>
      <c r="H8">
        <v>119.6415479672513</v>
      </c>
      <c r="I8">
        <v>20.899999999999981</v>
      </c>
      <c r="J8">
        <v>3661.836449991124</v>
      </c>
      <c r="K8">
        <v>5274088743.6902752</v>
      </c>
      <c r="L8">
        <v>14848000</v>
      </c>
      <c r="M8">
        <v>39.647067987431143</v>
      </c>
      <c r="N8">
        <v>111.2054405143929</v>
      </c>
      <c r="O8">
        <v>150</v>
      </c>
      <c r="P8">
        <v>2662.8613661985419</v>
      </c>
      <c r="Q8">
        <v>4901.4464625342926</v>
      </c>
      <c r="R8">
        <v>9138.6958942842211</v>
      </c>
      <c r="S8">
        <v>14037333.33333333</v>
      </c>
      <c r="T8">
        <v>5.67E-2</v>
      </c>
      <c r="V8">
        <v>5.2225703614708317E-2</v>
      </c>
      <c r="W8">
        <f t="shared" si="0"/>
        <v>0.10047192880045744</v>
      </c>
      <c r="X8">
        <v>5.8257615651766938E-2</v>
      </c>
      <c r="Y8">
        <f t="shared" si="1"/>
        <v>9.9682154671841702E-2</v>
      </c>
    </row>
    <row r="9" spans="2:25" x14ac:dyDescent="0.3">
      <c r="B9">
        <v>3502.0286547486962</v>
      </c>
      <c r="C9">
        <v>1709.033792278999</v>
      </c>
      <c r="D9">
        <v>9712.2152590444657</v>
      </c>
      <c r="E9">
        <v>2662.8613661985419</v>
      </c>
      <c r="F9">
        <v>12.845162</v>
      </c>
      <c r="G9">
        <v>0.91666862589977449</v>
      </c>
      <c r="H9">
        <v>59.748556467917702</v>
      </c>
      <c r="I9">
        <v>19.700000000000049</v>
      </c>
      <c r="J9">
        <v>2454.4867594102252</v>
      </c>
      <c r="K9">
        <v>6205262054.3646154</v>
      </c>
      <c r="L9">
        <v>25600000</v>
      </c>
      <c r="M9">
        <v>39.647067987431143</v>
      </c>
      <c r="N9">
        <v>86.711014294610436</v>
      </c>
      <c r="O9">
        <v>139.89957112157271</v>
      </c>
      <c r="P9">
        <v>3593.740599279558</v>
      </c>
      <c r="Q9">
        <v>4901.4464625342926</v>
      </c>
      <c r="R9">
        <v>9138.6958942842211</v>
      </c>
      <c r="S9">
        <v>14037333.33333333</v>
      </c>
      <c r="T9">
        <v>5.67E-2</v>
      </c>
      <c r="V9">
        <v>5.7625582337638689E-2</v>
      </c>
      <c r="W9">
        <f t="shared" si="0"/>
        <v>0.11086022791431697</v>
      </c>
      <c r="X9">
        <v>6.0729511426684479E-2</v>
      </c>
      <c r="Y9">
        <f t="shared" si="1"/>
        <v>0.10391171151537738</v>
      </c>
    </row>
    <row r="10" spans="2:25" x14ac:dyDescent="0.3">
      <c r="B10">
        <v>5339.7697288498366</v>
      </c>
      <c r="C10">
        <v>2077.879889986385</v>
      </c>
      <c r="D10">
        <v>10325.38708043804</v>
      </c>
      <c r="E10">
        <v>4213.109451484188</v>
      </c>
      <c r="F10">
        <v>15.158652</v>
      </c>
      <c r="G10">
        <v>0.94906374260719217</v>
      </c>
      <c r="H10">
        <v>119.64760758159809</v>
      </c>
      <c r="I10">
        <v>20.600000000000019</v>
      </c>
      <c r="J10">
        <v>1660.531972702893</v>
      </c>
      <c r="K10">
        <v>8060921374.4470358</v>
      </c>
      <c r="L10">
        <v>23987200</v>
      </c>
      <c r="M10">
        <v>50</v>
      </c>
      <c r="N10">
        <v>1774.054706033611</v>
      </c>
      <c r="O10">
        <v>1815.2721806935731</v>
      </c>
      <c r="P10">
        <v>3861.5303503378582</v>
      </c>
      <c r="Q10">
        <v>3593.740599279558</v>
      </c>
      <c r="R10">
        <v>2662.8613661985419</v>
      </c>
      <c r="S10">
        <v>14037333.33333333</v>
      </c>
      <c r="T10">
        <v>5.67E-2</v>
      </c>
      <c r="V10">
        <v>8.5254735107498592E-2</v>
      </c>
      <c r="W10">
        <f t="shared" si="0"/>
        <v>0.16401325559566227</v>
      </c>
      <c r="X10">
        <v>6.7488420311282799E-2</v>
      </c>
      <c r="Y10">
        <f t="shared" si="1"/>
        <v>0.115476596094154</v>
      </c>
    </row>
    <row r="11" spans="2:25" x14ac:dyDescent="0.3">
      <c r="B11">
        <v>4386.2667016775913</v>
      </c>
      <c r="C11">
        <v>1937.07065817953</v>
      </c>
      <c r="D11">
        <v>9238.9117568574893</v>
      </c>
      <c r="E11">
        <v>3861.5303503378582</v>
      </c>
      <c r="F11">
        <v>17.207180000000001</v>
      </c>
      <c r="G11">
        <v>0.87734875790222444</v>
      </c>
      <c r="H11">
        <v>59.446362378198152</v>
      </c>
      <c r="I11">
        <v>18.799999999999951</v>
      </c>
      <c r="J11">
        <v>1662.462136871146</v>
      </c>
      <c r="K11">
        <v>2973525729.144608</v>
      </c>
      <c r="L11">
        <v>7116800</v>
      </c>
      <c r="M11">
        <v>50</v>
      </c>
      <c r="N11">
        <v>1857.205893270856</v>
      </c>
      <c r="O11">
        <v>1912.6169846574089</v>
      </c>
      <c r="P11">
        <v>4213.109451484188</v>
      </c>
      <c r="Q11">
        <v>9138.6958942842211</v>
      </c>
      <c r="R11">
        <v>3593.740599279558</v>
      </c>
      <c r="S11">
        <v>14037333.33333333</v>
      </c>
      <c r="T11">
        <v>5.67E-2</v>
      </c>
      <c r="V11">
        <v>4.2487686585502282E-2</v>
      </c>
      <c r="W11">
        <f t="shared" si="0"/>
        <v>8.1737909229671127E-2</v>
      </c>
      <c r="X11">
        <v>6.3444412556016933E-2</v>
      </c>
      <c r="Y11">
        <f t="shared" si="1"/>
        <v>0.10855706459523119</v>
      </c>
    </row>
    <row r="12" spans="2:25" x14ac:dyDescent="0.3">
      <c r="V12">
        <f>SUM(V3:V11)</f>
        <v>0.51980393168753958</v>
      </c>
      <c r="W12">
        <f>SUM(W3:W11)</f>
        <v>1</v>
      </c>
      <c r="X12">
        <f>SUM(X3:X11)</f>
        <v>0.58443375189424551</v>
      </c>
      <c r="Y12">
        <f>SUM(Y3:Y11)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 HOTIS</cp:lastModifiedBy>
  <dcterms:created xsi:type="dcterms:W3CDTF">2015-06-05T18:19:34Z</dcterms:created>
  <dcterms:modified xsi:type="dcterms:W3CDTF">2025-03-27T02:05:19Z</dcterms:modified>
</cp:coreProperties>
</file>