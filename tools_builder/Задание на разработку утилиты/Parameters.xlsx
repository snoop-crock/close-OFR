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a\Desktop\выгрузка св-тв\"/>
    </mc:Choice>
  </mc:AlternateContent>
  <xr:revisionPtr revIDLastSave="0" documentId="13_ncr:1_{D1CF8621-41FC-4C6C-8C0D-F8763ABBC714}" xr6:coauthVersionLast="47" xr6:coauthVersionMax="47" xr10:uidLastSave="{00000000-0000-0000-0000-000000000000}"/>
  <bookViews>
    <workbookView xWindow="-120" yWindow="-120" windowWidth="29040" windowHeight="15840" activeTab="1" xr2:uid="{897983A9-DC02-4143-B5B2-25FAE81AE015}"/>
  </bookViews>
  <sheets>
    <sheet name="1" sheetId="2" r:id="rId1"/>
    <sheet name="DateSet" sheetId="4" r:id="rId2"/>
    <sheet name="Получить хотим" sheetId="3" r:id="rId3"/>
  </sheets>
  <definedNames>
    <definedName name="_xlnm._FilterDatabase" localSheetId="0" hidden="1">'1'!$A$1:$H$109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3" i="4" l="1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T8" i="4"/>
  <c r="T13" i="4" s="1"/>
  <c r="T14" i="4" s="1"/>
  <c r="M13" i="4"/>
  <c r="V13" i="4"/>
  <c r="U13" i="4"/>
  <c r="L13" i="4"/>
  <c r="L14" i="4" s="1"/>
  <c r="J6" i="4"/>
  <c r="J13" i="4" s="1"/>
  <c r="J14" i="4" s="1"/>
  <c r="I13" i="4"/>
  <c r="I14" i="4" s="1"/>
  <c r="X13" i="4"/>
  <c r="G13" i="4"/>
  <c r="G14" i="4" s="1"/>
  <c r="W13" i="4"/>
  <c r="F13" i="4"/>
  <c r="F14" i="4" s="1"/>
  <c r="E13" i="4"/>
  <c r="D13" i="4"/>
  <c r="C13" i="4"/>
  <c r="H6" i="4"/>
  <c r="H13" i="4" s="1"/>
  <c r="H14" i="4" s="1"/>
  <c r="J7" i="3"/>
  <c r="P7" i="3"/>
  <c r="I7" i="3"/>
  <c r="G7" i="3"/>
  <c r="E9" i="3"/>
  <c r="B9" i="3"/>
  <c r="Z4" i="3"/>
  <c r="L4" i="3"/>
  <c r="W4" i="3" s="1"/>
  <c r="G4" i="3"/>
  <c r="H11" i="2"/>
  <c r="H7" i="2"/>
  <c r="H24" i="2"/>
  <c r="H23" i="2"/>
  <c r="H22" i="2"/>
  <c r="H21" i="2"/>
  <c r="H20" i="2"/>
  <c r="H19" i="2"/>
  <c r="H15" i="2"/>
  <c r="H14" i="2"/>
  <c r="H13" i="2"/>
  <c r="H12" i="2"/>
  <c r="H9" i="2"/>
  <c r="H8" i="2"/>
  <c r="C30" i="2"/>
  <c r="C16" i="2"/>
  <c r="C27" i="2" s="1"/>
  <c r="C28" i="2" s="1"/>
  <c r="C12" i="2"/>
  <c r="M14" i="4" l="1"/>
  <c r="D14" i="4"/>
  <c r="E14" i="4"/>
  <c r="C14" i="4"/>
  <c r="X4" i="3"/>
</calcChain>
</file>

<file path=xl/sharedStrings.xml><?xml version="1.0" encoding="utf-8"?>
<sst xmlns="http://schemas.openxmlformats.org/spreadsheetml/2006/main" count="476" uniqueCount="214">
  <si>
    <t>kH1</t>
  </si>
  <si>
    <t>kH2</t>
  </si>
  <si>
    <t>kH3</t>
  </si>
  <si>
    <t>Lgs</t>
  </si>
  <si>
    <t>Hобщ</t>
  </si>
  <si>
    <t>Ндо гВК</t>
  </si>
  <si>
    <t>Кпрод</t>
  </si>
  <si>
    <t>Optimized Flow Rate</t>
  </si>
  <si>
    <t>как найти</t>
  </si>
  <si>
    <t>коментарий</t>
  </si>
  <si>
    <t>Не используем слишком сложно в выгрузке. И этот параметр содержит kH и lgs</t>
  </si>
  <si>
    <t>Среднее значения H1 * ср. знач. фазовой k</t>
  </si>
  <si>
    <t>Длина ГС, берём из длины перфораций</t>
  </si>
  <si>
    <t>Наименьшее растояние по А.О. от самой низкой точки ствола скв. до ГВК</t>
  </si>
  <si>
    <t>min1</t>
  </si>
  <si>
    <t>min2</t>
  </si>
  <si>
    <t>min3</t>
  </si>
  <si>
    <t>Расстояние до первой ближайшей скважины в метрах по проекции</t>
  </si>
  <si>
    <t>Расстояние до второй ближайшей скважины в метрах по проекции</t>
  </si>
  <si>
    <t>Расстояние до третьей ближайшей скважины в метрах по проекции</t>
  </si>
  <si>
    <t>ед. измерения</t>
  </si>
  <si>
    <t>мд.м</t>
  </si>
  <si>
    <t>м</t>
  </si>
  <si>
    <t>kHmin1</t>
  </si>
  <si>
    <t>kHmin2</t>
  </si>
  <si>
    <t>kHmin3</t>
  </si>
  <si>
    <t>м.дм</t>
  </si>
  <si>
    <t>распр.</t>
  </si>
  <si>
    <t>OFRmin1</t>
  </si>
  <si>
    <t>OFRmin2</t>
  </si>
  <si>
    <t>OFRmin3</t>
  </si>
  <si>
    <t>Распределения отборов ближайшей скважины</t>
  </si>
  <si>
    <t>м3</t>
  </si>
  <si>
    <t>Vdr</t>
  </si>
  <si>
    <t>Vnoact</t>
  </si>
  <si>
    <t>Sfield</t>
  </si>
  <si>
    <t>kH</t>
  </si>
  <si>
    <t>Средние параметры по месторождению для нормирования</t>
  </si>
  <si>
    <t>м2</t>
  </si>
  <si>
    <t>Средняя проводимость залежи</t>
  </si>
  <si>
    <t>Sdr</t>
  </si>
  <si>
    <t>Площаль дренирования скважины, по диаграмме вороного</t>
  </si>
  <si>
    <t>д.ед</t>
  </si>
  <si>
    <t>NTG</t>
  </si>
  <si>
    <t>Песчанистость под блоками где расположена скважина</t>
  </si>
  <si>
    <t>безразмерные параметры</t>
  </si>
  <si>
    <t>0.05</t>
  </si>
  <si>
    <t>0.04</t>
  </si>
  <si>
    <t>Объём дренирования V*m скважины в газонасыщенной части, по диаграмме вороного</t>
  </si>
  <si>
    <t>Объём газонасыщенной части залежи, v(акт) * m</t>
  </si>
  <si>
    <t>Объём неактивных объёмов в залежи, v(акт) * m</t>
  </si>
  <si>
    <t>млн.м3/сут</t>
  </si>
  <si>
    <t>Qfield</t>
  </si>
  <si>
    <t>Суточный отбор на плато</t>
  </si>
  <si>
    <t>0.10</t>
  </si>
  <si>
    <t>Площадь залежи</t>
  </si>
  <si>
    <t>дол.ед</t>
  </si>
  <si>
    <t>NTGfield</t>
  </si>
  <si>
    <t>Газонасыщенную толщину на неактивную толщину</t>
  </si>
  <si>
    <t>Отклонение от средних по месторождению</t>
  </si>
  <si>
    <t>Hw</t>
  </si>
  <si>
    <t>Hwell общ</t>
  </si>
  <si>
    <t>Общая газонасыщенная толщина, в диагрмме вороного</t>
  </si>
  <si>
    <t>HwGWC</t>
  </si>
  <si>
    <t>Sd</t>
  </si>
  <si>
    <t>Vd</t>
  </si>
  <si>
    <t>Po m-r</t>
  </si>
  <si>
    <t>+</t>
  </si>
  <si>
    <t>похуй, пока она везде 1</t>
  </si>
  <si>
    <t>Никита</t>
  </si>
  <si>
    <t>Проводимость kH ефф в зоне работы ближайшей скважины</t>
  </si>
  <si>
    <t>w1</t>
  </si>
  <si>
    <t>-</t>
  </si>
  <si>
    <t>пример</t>
  </si>
  <si>
    <t>параметр</t>
  </si>
  <si>
    <t>пояснение</t>
  </si>
  <si>
    <t>из файла kh1 * avg perm</t>
  </si>
  <si>
    <t>kh_eff</t>
  </si>
  <si>
    <t>h</t>
  </si>
  <si>
    <t>k</t>
  </si>
  <si>
    <t>kh</t>
  </si>
  <si>
    <t>eff</t>
  </si>
  <si>
    <t>из exe</t>
  </si>
  <si>
    <t>Среднее значения H1 * ср, знач, фазовой k</t>
  </si>
  <si>
    <t>Наименьшее растояние по А,О, от самой низкой точки ствола скв, до ГВК</t>
  </si>
  <si>
    <t>ед,изм</t>
  </si>
  <si>
    <t>мд,м</t>
  </si>
  <si>
    <t>д,ед</t>
  </si>
  <si>
    <t>м,дм</t>
  </si>
  <si>
    <t>дол,ед</t>
  </si>
  <si>
    <t>млн,м3/сут</t>
  </si>
  <si>
    <t>GWC</t>
  </si>
  <si>
    <t>EXE</t>
  </si>
  <si>
    <t>field 1 столбец</t>
  </si>
  <si>
    <t>field 2 * 3 столбец</t>
  </si>
  <si>
    <t>Наименьшоре расстояние до контура газоностности</t>
  </si>
  <si>
    <t>exe</t>
  </si>
  <si>
    <t xml:space="preserve">выгружаемые параметры </t>
  </si>
  <si>
    <t>считаемые параметры</t>
  </si>
  <si>
    <t>kh1</t>
  </si>
  <si>
    <t>kh2</t>
  </si>
  <si>
    <t>kh3</t>
  </si>
  <si>
    <t>x</t>
  </si>
  <si>
    <t>y</t>
  </si>
  <si>
    <t>x * y</t>
  </si>
  <si>
    <t>h эфф. срд, м</t>
  </si>
  <si>
    <t>параметры</t>
  </si>
  <si>
    <t>dataset</t>
  </si>
  <si>
    <t>kh  eff</t>
  </si>
  <si>
    <t>k срд, абс, мД</t>
  </si>
  <si>
    <t>мД*м</t>
  </si>
  <si>
    <t>k срд. эфф. мД</t>
  </si>
  <si>
    <t>h_all</t>
  </si>
  <si>
    <t>ntg</t>
  </si>
  <si>
    <t>h общая, м</t>
  </si>
  <si>
    <t>Vdren</t>
  </si>
  <si>
    <t>объём дрен. запасов, м3</t>
  </si>
  <si>
    <t>площадь дрен запасов, м2</t>
  </si>
  <si>
    <t>Sdren</t>
  </si>
  <si>
    <t>Длина ГС</t>
  </si>
  <si>
    <r>
      <t xml:space="preserve">Расчёт из файла </t>
    </r>
    <r>
      <rPr>
        <b/>
        <i/>
        <sz val="10"/>
        <color theme="1"/>
        <rFont val="Times New Roman"/>
        <family val="1"/>
        <charset val="204"/>
      </rPr>
      <t>well</t>
    </r>
  </si>
  <si>
    <t>h до гвк</t>
  </si>
  <si>
    <t>hgvk</t>
  </si>
  <si>
    <r>
      <t xml:space="preserve">Расчёт из файла </t>
    </r>
    <r>
      <rPr>
        <b/>
        <i/>
        <sz val="10"/>
        <color theme="1"/>
        <rFont val="Times New Roman"/>
        <family val="1"/>
        <charset val="204"/>
      </rPr>
      <t>well &amp; GWC_1</t>
    </r>
  </si>
  <si>
    <t>min L до газоностности</t>
  </si>
  <si>
    <t>l_GWC</t>
  </si>
  <si>
    <t>уже считали, в exe файле</t>
  </si>
  <si>
    <t>minLgwc</t>
  </si>
  <si>
    <t>Параметры по ближайшим скважинам</t>
  </si>
  <si>
    <t>minL1</t>
  </si>
  <si>
    <t>minL2</t>
  </si>
  <si>
    <t>minL3</t>
  </si>
  <si>
    <t>минимальное расстояние до ближайшой скважины, м</t>
  </si>
  <si>
    <t>считали для 1 скважины, добавить ещё 2</t>
  </si>
  <si>
    <t>их эффективная проводимость kh (1,2,3)</t>
  </si>
  <si>
    <r>
      <t xml:space="preserve">брать </t>
    </r>
    <r>
      <rPr>
        <b/>
        <sz val="10"/>
        <color rgb="FFFF0000"/>
        <rFont val="Times New Roman"/>
        <family val="1"/>
        <charset val="204"/>
      </rPr>
      <t xml:space="preserve">kh </t>
    </r>
    <r>
      <rPr>
        <b/>
        <i/>
        <sz val="10"/>
        <color rgb="FFFF0000"/>
        <rFont val="Times New Roman"/>
        <family val="1"/>
        <charset val="204"/>
      </rPr>
      <t>eff</t>
    </r>
  </si>
  <si>
    <t>Skr</t>
  </si>
  <si>
    <t>кол-во скважин</t>
  </si>
  <si>
    <t>площадь залежи</t>
  </si>
  <si>
    <t>y/x</t>
  </si>
  <si>
    <t>Плотность сетки скв.</t>
  </si>
  <si>
    <t>запасы газа</t>
  </si>
  <si>
    <t>средняя абс. Проницаемость по м-ю</t>
  </si>
  <si>
    <t>Средние параметры по месторождению</t>
  </si>
  <si>
    <t>Средняя газонасыщенная толщина</t>
  </si>
  <si>
    <t>hmr</t>
  </si>
  <si>
    <t>kmr</t>
  </si>
  <si>
    <t>Smr</t>
  </si>
  <si>
    <t>Vmr</t>
  </si>
  <si>
    <t>lgs</t>
  </si>
  <si>
    <t>хуйня</t>
  </si>
  <si>
    <t>k1</t>
  </si>
  <si>
    <t>k2</t>
  </si>
  <si>
    <t>k3</t>
  </si>
  <si>
    <t>ofr</t>
  </si>
  <si>
    <t xml:space="preserve">направляющая дебита отнармированная </t>
  </si>
  <si>
    <t>д.е</t>
  </si>
  <si>
    <t>Направляйка</t>
  </si>
  <si>
    <t>h1</t>
  </si>
  <si>
    <t>h2</t>
  </si>
  <si>
    <t>h3</t>
  </si>
  <si>
    <t>heff</t>
  </si>
  <si>
    <t>keff</t>
  </si>
  <si>
    <t>hall</t>
  </si>
  <si>
    <t>heff/hall</t>
  </si>
  <si>
    <t>khmr</t>
  </si>
  <si>
    <t>smr</t>
  </si>
  <si>
    <t>vmr</t>
  </si>
  <si>
    <t>Для перевода не использовать в dataset</t>
  </si>
  <si>
    <t>Просто в м</t>
  </si>
  <si>
    <r>
      <t>kH</t>
    </r>
    <r>
      <rPr>
        <b/>
        <i/>
        <sz val="11"/>
        <color theme="1"/>
        <rFont val="Calibri"/>
        <family val="2"/>
        <charset val="204"/>
        <scheme val="minor"/>
      </rPr>
      <t>eff</t>
    </r>
  </si>
  <si>
    <t>kHmin1 / khmr</t>
  </si>
  <si>
    <t>kHmin2 / khmr</t>
  </si>
  <si>
    <t>kHmin3 / khmr</t>
  </si>
  <si>
    <t>кол-во скв. в генерации</t>
  </si>
  <si>
    <r>
      <t xml:space="preserve">перевод в относительные, для </t>
    </r>
    <r>
      <rPr>
        <b/>
        <sz val="11"/>
        <color theme="1"/>
        <rFont val="Calibri"/>
        <family val="2"/>
        <charset val="204"/>
        <scheme val="minor"/>
      </rPr>
      <t>DateSet</t>
    </r>
  </si>
  <si>
    <t>Модели</t>
  </si>
  <si>
    <t>VAR_1</t>
  </si>
  <si>
    <t>VAR_2</t>
  </si>
  <si>
    <t>VAR_3</t>
  </si>
  <si>
    <t>VAR_4</t>
  </si>
  <si>
    <t>VAR_5</t>
  </si>
  <si>
    <t>VAR_6</t>
  </si>
  <si>
    <t>VAR_7</t>
  </si>
  <si>
    <t>VAR_8</t>
  </si>
  <si>
    <t>VAR_9</t>
  </si>
  <si>
    <t>VAR_10</t>
  </si>
  <si>
    <t>VAR_11</t>
  </si>
  <si>
    <t>VAR_12</t>
  </si>
  <si>
    <t>VAR_13</t>
  </si>
  <si>
    <t>VAR_14</t>
  </si>
  <si>
    <t>VAR_15</t>
  </si>
  <si>
    <t>Месторождение Накопл. газ ст.м3</t>
  </si>
  <si>
    <t>Месторождение Накопл. вода ст.м3</t>
  </si>
  <si>
    <t xml:space="preserve">  e1_v00010/e1_v00010  </t>
  </si>
  <si>
    <t>A001/e1_v00010</t>
  </si>
  <si>
    <t>VAR_N / ∑VAR_n</t>
  </si>
  <si>
    <t>Формульный вид</t>
  </si>
  <si>
    <t>Исходная параша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</si>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</sst>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73" formatCode="0.00000"/>
  </numFmts>
  <fonts count="15" x14ac:knownFonts="1"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i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 wrapText="1"/>
    </xf>
    <xf numFmtId="165" fontId="3" fillId="6" borderId="0" xfId="0" applyNumberFormat="1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0" fillId="9" borderId="0" xfId="0" applyFill="1"/>
    <xf numFmtId="0" fontId="0" fillId="0" borderId="1" xfId="0" applyBorder="1"/>
    <xf numFmtId="0" fontId="0" fillId="0" borderId="10" xfId="0" applyBorder="1"/>
    <xf numFmtId="0" fontId="0" fillId="0" borderId="2" xfId="0" applyBorder="1"/>
    <xf numFmtId="0" fontId="0" fillId="9" borderId="3" xfId="0" applyFill="1" applyBorder="1"/>
    <xf numFmtId="0" fontId="0" fillId="9" borderId="0" xfId="0" applyFill="1" applyBorder="1"/>
    <xf numFmtId="0" fontId="0" fillId="9" borderId="4" xfId="0" applyFill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0" fillId="9" borderId="16" xfId="0" applyFill="1" applyBorder="1" applyAlignment="1"/>
    <xf numFmtId="0" fontId="0" fillId="9" borderId="17" xfId="0" applyFill="1" applyBorder="1" applyAlignment="1"/>
    <xf numFmtId="0" fontId="0" fillId="9" borderId="18" xfId="0" applyFill="1" applyBorder="1" applyAlignment="1"/>
    <xf numFmtId="0" fontId="0" fillId="3" borderId="15" xfId="0" applyFill="1" applyBorder="1"/>
    <xf numFmtId="0" fontId="0" fillId="3" borderId="15" xfId="0" applyFill="1" applyBorder="1" applyAlignment="1">
      <alignment horizontal="center" vertical="center"/>
    </xf>
    <xf numFmtId="0" fontId="0" fillId="9" borderId="16" xfId="0" applyFill="1" applyBorder="1"/>
    <xf numFmtId="0" fontId="0" fillId="9" borderId="19" xfId="0" applyFill="1" applyBorder="1" applyAlignment="1">
      <alignment horizontal="center" vertical="center"/>
    </xf>
    <xf numFmtId="0" fontId="0" fillId="9" borderId="19" xfId="0" applyFill="1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0" borderId="14" xfId="0" applyBorder="1"/>
    <xf numFmtId="0" fontId="14" fillId="0" borderId="0" xfId="0" applyFont="1"/>
    <xf numFmtId="173" fontId="0" fillId="0" borderId="0" xfId="1" applyNumberFormat="1" applyFont="1"/>
    <xf numFmtId="173" fontId="0" fillId="8" borderId="0" xfId="0" applyNumberFormat="1" applyFill="1"/>
    <xf numFmtId="173" fontId="0" fillId="8" borderId="0" xfId="1" applyNumberFormat="1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432289</xdr:colOff>
      <xdr:row>17</xdr:row>
      <xdr:rowOff>131884</xdr:rowOff>
    </xdr:from>
    <xdr:to>
      <xdr:col>7</xdr:col>
      <xdr:colOff>153865</xdr:colOff>
      <xdr:row>18</xdr:row>
      <xdr:rowOff>109904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AF5493C0-95DD-4062-BA3D-A94C401483B1}"/>
            </a:ext>
          </a:extLst>
        </xdr:cNvPr>
        <xdr:cNvCxnSpPr/>
      </xdr:nvCxnSpPr>
      <xdr:spPr>
        <a:xfrm flipV="1">
          <a:off x="4242289" y="4821115"/>
          <a:ext cx="1575288" cy="139212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402979</xdr:colOff>
      <xdr:row>17</xdr:row>
      <xdr:rowOff>124558</xdr:rowOff>
    </xdr:from>
    <xdr:to>
      <xdr:col>9</xdr:col>
      <xdr:colOff>102577</xdr:colOff>
      <xdr:row>18</xdr:row>
      <xdr:rowOff>58615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58A246DA-A6CA-406A-B1C1-A61FFFB1DB56}"/>
            </a:ext>
          </a:extLst>
        </xdr:cNvPr>
        <xdr:cNvCxnSpPr/>
      </xdr:nvCxnSpPr>
      <xdr:spPr>
        <a:xfrm flipH="1" flipV="1">
          <a:off x="6066691" y="4813789"/>
          <a:ext cx="1611924" cy="95249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55693</xdr:colOff>
      <xdr:row>18</xdr:row>
      <xdr:rowOff>80543</xdr:rowOff>
    </xdr:from>
    <xdr:to>
      <xdr:col>11</xdr:col>
      <xdr:colOff>1126435</xdr:colOff>
      <xdr:row>22</xdr:row>
      <xdr:rowOff>143193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7BF3E322-D780-431C-B3D6-6BB692BB7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2041" y="5016978"/>
          <a:ext cx="2445655" cy="734784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169938</xdr:colOff>
      <xdr:row>18</xdr:row>
      <xdr:rowOff>76543</xdr:rowOff>
    </xdr:from>
    <xdr:to>
      <xdr:col>13</xdr:col>
      <xdr:colOff>1128086</xdr:colOff>
      <xdr:row>22</xdr:row>
      <xdr:rowOff>89008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43FBBAC1-69B7-49F0-8630-283E9127C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3041" y="4990129"/>
          <a:ext cx="2455872" cy="678887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BA6B-0FA4-4C26-ABBB-95F677B46F75}">
  <dimension ref="A3:I109"/>
  <sheetViews>
    <sheetView topLeftCell="A13" zoomScale="130" zoomScaleNormal="130" workbookViewId="0">
      <selection activeCell="A7" sqref="A7:D32"/>
    </sheetView>
  </sheetViews>
  <sheetFormatPr defaultColWidth="8.85546875" defaultRowHeight="11.25" x14ac:dyDescent="0.25"/>
  <cols>
    <col min="1" max="1" width="10.5703125" style="1" bestFit="1" customWidth="1"/>
    <col min="2" max="3" width="8.85546875" style="1"/>
    <col min="4" max="4" width="30.85546875" style="1" customWidth="1"/>
    <col min="5" max="5" width="31.42578125" style="1" customWidth="1"/>
    <col min="6" max="16384" width="8.85546875" style="1"/>
  </cols>
  <sheetData>
    <row r="3" spans="1:9" x14ac:dyDescent="0.25">
      <c r="A3" s="3"/>
      <c r="B3" s="1" t="s">
        <v>6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7</v>
      </c>
    </row>
    <row r="4" spans="1:9" x14ac:dyDescent="0.25">
      <c r="B4" s="3">
        <v>3.4677948673178777E-2</v>
      </c>
      <c r="C4" s="2">
        <v>2353.7290859999998</v>
      </c>
      <c r="D4" s="2">
        <v>2417.3444003999998</v>
      </c>
      <c r="E4" s="2">
        <v>2411.8125107999999</v>
      </c>
      <c r="F4" s="2">
        <v>350.00226232496004</v>
      </c>
      <c r="G4" s="5">
        <v>13.1999999999999</v>
      </c>
      <c r="H4" s="5">
        <v>11.249015504840031</v>
      </c>
      <c r="I4" s="3">
        <v>9.5831356256908778E-2</v>
      </c>
    </row>
    <row r="6" spans="1:9" x14ac:dyDescent="0.25">
      <c r="A6" s="7" t="s">
        <v>20</v>
      </c>
      <c r="B6" s="7"/>
      <c r="C6" s="8"/>
      <c r="D6" s="8" t="s">
        <v>8</v>
      </c>
      <c r="E6" s="8" t="s">
        <v>9</v>
      </c>
      <c r="F6" s="5"/>
      <c r="G6" s="5" t="s">
        <v>45</v>
      </c>
      <c r="H6" s="3"/>
      <c r="I6" s="6" t="s">
        <v>59</v>
      </c>
    </row>
    <row r="7" spans="1:9" ht="33.75" x14ac:dyDescent="0.25">
      <c r="B7" s="1" t="s">
        <v>6</v>
      </c>
      <c r="C7" s="3"/>
      <c r="D7" s="4" t="s">
        <v>10</v>
      </c>
      <c r="E7" s="4"/>
      <c r="F7" s="5"/>
      <c r="G7" s="1" t="s">
        <v>0</v>
      </c>
      <c r="H7" s="3">
        <f>C8/$C$31</f>
        <v>0.88888888888888884</v>
      </c>
    </row>
    <row r="8" spans="1:9" ht="22.5" x14ac:dyDescent="0.25">
      <c r="A8" s="1" t="s">
        <v>21</v>
      </c>
      <c r="B8" s="1" t="s">
        <v>0</v>
      </c>
      <c r="C8" s="2">
        <v>8000</v>
      </c>
      <c r="D8" s="4" t="s">
        <v>11</v>
      </c>
      <c r="E8" s="4" t="s">
        <v>67</v>
      </c>
      <c r="F8" s="5"/>
      <c r="G8" s="1" t="s">
        <v>1</v>
      </c>
      <c r="H8" s="3">
        <f>C9/$C$31</f>
        <v>0.66666666666666663</v>
      </c>
    </row>
    <row r="9" spans="1:9" ht="22.5" x14ac:dyDescent="0.25">
      <c r="A9" s="1" t="s">
        <v>21</v>
      </c>
      <c r="B9" s="1" t="s">
        <v>1</v>
      </c>
      <c r="C9" s="2">
        <v>6000</v>
      </c>
      <c r="D9" s="4" t="s">
        <v>11</v>
      </c>
      <c r="E9" s="4" t="s">
        <v>67</v>
      </c>
      <c r="F9" s="5"/>
      <c r="G9" s="1" t="s">
        <v>2</v>
      </c>
      <c r="H9" s="3">
        <f>C10/$C$31</f>
        <v>1</v>
      </c>
    </row>
    <row r="10" spans="1:9" ht="22.5" x14ac:dyDescent="0.25">
      <c r="A10" s="1" t="s">
        <v>21</v>
      </c>
      <c r="B10" s="1" t="s">
        <v>2</v>
      </c>
      <c r="C10" s="2">
        <v>9000</v>
      </c>
      <c r="D10" s="4" t="s">
        <v>11</v>
      </c>
      <c r="E10" s="4" t="s">
        <v>67</v>
      </c>
      <c r="F10" s="5"/>
      <c r="G10" s="5" t="s">
        <v>3</v>
      </c>
      <c r="H10" s="3">
        <v>300</v>
      </c>
      <c r="I10" s="1" t="s">
        <v>22</v>
      </c>
    </row>
    <row r="11" spans="1:9" x14ac:dyDescent="0.25">
      <c r="A11" s="1" t="s">
        <v>22</v>
      </c>
      <c r="B11" s="1" t="s">
        <v>3</v>
      </c>
      <c r="C11" s="2">
        <v>300</v>
      </c>
      <c r="D11" s="4" t="s">
        <v>12</v>
      </c>
      <c r="E11" s="4"/>
      <c r="F11" s="5"/>
      <c r="G11" s="5" t="s">
        <v>43</v>
      </c>
      <c r="H11" s="3">
        <f>C12/C29</f>
        <v>0.66666666666666674</v>
      </c>
    </row>
    <row r="12" spans="1:9" ht="22.5" x14ac:dyDescent="0.25">
      <c r="A12" s="1" t="s">
        <v>42</v>
      </c>
      <c r="B12" s="1" t="s">
        <v>43</v>
      </c>
      <c r="C12" s="10">
        <f>3/30</f>
        <v>0.1</v>
      </c>
      <c r="D12" s="4" t="s">
        <v>44</v>
      </c>
      <c r="E12" s="4" t="s">
        <v>68</v>
      </c>
      <c r="F12" s="5"/>
      <c r="G12" s="5" t="s">
        <v>60</v>
      </c>
      <c r="H12" s="3">
        <f>C13/(C27/C30)</f>
        <v>1</v>
      </c>
    </row>
    <row r="13" spans="1:9" ht="22.5" x14ac:dyDescent="0.25">
      <c r="A13" s="3" t="s">
        <v>22</v>
      </c>
      <c r="B13" s="1" t="s">
        <v>61</v>
      </c>
      <c r="C13" s="5">
        <v>30</v>
      </c>
      <c r="D13" s="4" t="s">
        <v>62</v>
      </c>
      <c r="E13" s="4"/>
      <c r="F13" s="5"/>
      <c r="G13" s="5" t="s">
        <v>63</v>
      </c>
      <c r="H13" s="3">
        <f>C14/(C27/C30)</f>
        <v>0.8666666666666667</v>
      </c>
    </row>
    <row r="14" spans="1:9" ht="22.5" x14ac:dyDescent="0.25">
      <c r="A14" s="3" t="s">
        <v>22</v>
      </c>
      <c r="B14" s="1" t="s">
        <v>5</v>
      </c>
      <c r="C14" s="5">
        <v>26</v>
      </c>
      <c r="D14" s="4" t="s">
        <v>13</v>
      </c>
      <c r="E14" s="4"/>
      <c r="F14" s="5"/>
      <c r="G14" s="5" t="s">
        <v>64</v>
      </c>
      <c r="H14" s="3">
        <f>C15/C30</f>
        <v>0.05</v>
      </c>
    </row>
    <row r="15" spans="1:9" ht="22.5" x14ac:dyDescent="0.25">
      <c r="A15" s="3" t="s">
        <v>38</v>
      </c>
      <c r="B15" s="1" t="s">
        <v>40</v>
      </c>
      <c r="C15" s="2">
        <v>500000</v>
      </c>
      <c r="D15" s="4" t="s">
        <v>41</v>
      </c>
      <c r="E15" s="4"/>
      <c r="F15" s="5"/>
      <c r="G15" s="5" t="s">
        <v>65</v>
      </c>
      <c r="H15" s="3">
        <f>C16/C27</f>
        <v>0.05</v>
      </c>
    </row>
    <row r="16" spans="1:9" ht="33.75" x14ac:dyDescent="0.25">
      <c r="A16" s="3" t="s">
        <v>32</v>
      </c>
      <c r="B16" s="1" t="s">
        <v>33</v>
      </c>
      <c r="C16" s="2">
        <f>C15*C13</f>
        <v>15000000</v>
      </c>
      <c r="D16" s="4" t="s">
        <v>48</v>
      </c>
      <c r="E16" s="4"/>
      <c r="F16" s="5"/>
      <c r="G16" s="1" t="s">
        <v>14</v>
      </c>
      <c r="H16" s="2">
        <v>2000</v>
      </c>
      <c r="I16" s="1" t="s">
        <v>22</v>
      </c>
    </row>
    <row r="17" spans="1:9" ht="22.5" x14ac:dyDescent="0.25">
      <c r="A17" s="3" t="s">
        <v>22</v>
      </c>
      <c r="B17" s="1" t="s">
        <v>14</v>
      </c>
      <c r="C17" s="2">
        <v>2000</v>
      </c>
      <c r="D17" s="4" t="s">
        <v>17</v>
      </c>
      <c r="E17" s="4" t="s">
        <v>69</v>
      </c>
      <c r="F17" s="5"/>
      <c r="G17" s="1" t="s">
        <v>15</v>
      </c>
      <c r="H17" s="2">
        <v>2100</v>
      </c>
      <c r="I17" s="1" t="s">
        <v>22</v>
      </c>
    </row>
    <row r="18" spans="1:9" ht="22.5" x14ac:dyDescent="0.25">
      <c r="A18" s="3" t="s">
        <v>22</v>
      </c>
      <c r="B18" s="1" t="s">
        <v>15</v>
      </c>
      <c r="C18" s="2">
        <v>2100</v>
      </c>
      <c r="D18" s="4" t="s">
        <v>18</v>
      </c>
      <c r="E18" s="4" t="s">
        <v>69</v>
      </c>
      <c r="F18" s="5"/>
      <c r="G18" s="2" t="s">
        <v>16</v>
      </c>
      <c r="H18" s="2">
        <v>2000</v>
      </c>
      <c r="I18" s="1" t="s">
        <v>22</v>
      </c>
    </row>
    <row r="19" spans="1:9" ht="22.5" x14ac:dyDescent="0.25">
      <c r="A19" s="3" t="s">
        <v>22</v>
      </c>
      <c r="B19" s="2" t="s">
        <v>16</v>
      </c>
      <c r="C19" s="2">
        <v>2000</v>
      </c>
      <c r="D19" s="4" t="s">
        <v>19</v>
      </c>
      <c r="E19" s="2" t="s">
        <v>69</v>
      </c>
      <c r="F19" s="5"/>
      <c r="G19" s="2" t="s">
        <v>23</v>
      </c>
      <c r="H19" s="3">
        <f>C20/$C$31</f>
        <v>0.77777777777777779</v>
      </c>
    </row>
    <row r="20" spans="1:9" ht="22.5" x14ac:dyDescent="0.25">
      <c r="A20" s="3" t="s">
        <v>26</v>
      </c>
      <c r="B20" s="2" t="s">
        <v>23</v>
      </c>
      <c r="C20" s="2">
        <v>7000</v>
      </c>
      <c r="D20" s="4" t="s">
        <v>70</v>
      </c>
      <c r="E20" s="2"/>
      <c r="F20" s="5"/>
      <c r="G20" s="2" t="s">
        <v>24</v>
      </c>
      <c r="H20" s="3">
        <f>C21/$C$31</f>
        <v>0.44444444444444442</v>
      </c>
    </row>
    <row r="21" spans="1:9" ht="22.5" x14ac:dyDescent="0.25">
      <c r="A21" s="3" t="s">
        <v>26</v>
      </c>
      <c r="B21" s="2" t="s">
        <v>24</v>
      </c>
      <c r="C21" s="2">
        <v>4000</v>
      </c>
      <c r="D21" s="4" t="s">
        <v>70</v>
      </c>
      <c r="E21" s="2"/>
      <c r="F21" s="5"/>
      <c r="G21" s="2" t="s">
        <v>25</v>
      </c>
      <c r="H21" s="3">
        <f>C22/$C$31</f>
        <v>1.3333333333333333</v>
      </c>
    </row>
    <row r="22" spans="1:9" ht="22.5" x14ac:dyDescent="0.25">
      <c r="A22" s="3" t="s">
        <v>26</v>
      </c>
      <c r="B22" s="2" t="s">
        <v>25</v>
      </c>
      <c r="C22" s="2">
        <v>12000</v>
      </c>
      <c r="D22" s="4" t="s">
        <v>70</v>
      </c>
      <c r="E22" s="2"/>
      <c r="F22" s="5"/>
      <c r="G22" s="2" t="s">
        <v>28</v>
      </c>
      <c r="H22" s="3" t="str">
        <f>C23</f>
        <v>0.10</v>
      </c>
    </row>
    <row r="23" spans="1:9" ht="22.5" x14ac:dyDescent="0.25">
      <c r="A23" s="3" t="s">
        <v>27</v>
      </c>
      <c r="B23" s="2" t="s">
        <v>28</v>
      </c>
      <c r="C23" s="2" t="s">
        <v>54</v>
      </c>
      <c r="D23" s="4" t="s">
        <v>31</v>
      </c>
      <c r="E23" s="2"/>
      <c r="F23" s="5"/>
      <c r="G23" s="2" t="s">
        <v>29</v>
      </c>
      <c r="H23" s="3" t="str">
        <f>C24</f>
        <v>0.05</v>
      </c>
    </row>
    <row r="24" spans="1:9" ht="22.5" x14ac:dyDescent="0.25">
      <c r="A24" s="3" t="s">
        <v>27</v>
      </c>
      <c r="B24" s="2" t="s">
        <v>29</v>
      </c>
      <c r="C24" s="2" t="s">
        <v>46</v>
      </c>
      <c r="D24" s="4" t="s">
        <v>31</v>
      </c>
      <c r="E24" s="2"/>
      <c r="F24" s="5"/>
      <c r="G24" s="2" t="s">
        <v>30</v>
      </c>
      <c r="H24" s="3" t="str">
        <f>C25</f>
        <v>0.04</v>
      </c>
    </row>
    <row r="25" spans="1:9" ht="22.5" x14ac:dyDescent="0.25">
      <c r="A25" s="3" t="s">
        <v>27</v>
      </c>
      <c r="B25" s="2" t="s">
        <v>30</v>
      </c>
      <c r="C25" s="2" t="s">
        <v>47</v>
      </c>
      <c r="D25" s="4" t="s">
        <v>31</v>
      </c>
      <c r="E25" s="2"/>
      <c r="F25" s="5" t="s">
        <v>66</v>
      </c>
      <c r="G25" s="5" t="s">
        <v>33</v>
      </c>
      <c r="H25" s="2">
        <v>300000000</v>
      </c>
      <c r="I25" s="1" t="s">
        <v>32</v>
      </c>
    </row>
    <row r="26" spans="1:9" x14ac:dyDescent="0.25">
      <c r="A26" s="9" t="s">
        <v>37</v>
      </c>
      <c r="B26" s="2"/>
      <c r="C26" s="2"/>
      <c r="D26" s="4"/>
      <c r="E26" s="2"/>
      <c r="F26" s="5"/>
      <c r="G26" s="5" t="s">
        <v>34</v>
      </c>
      <c r="H26" s="2">
        <v>30000000</v>
      </c>
      <c r="I26" s="1" t="s">
        <v>32</v>
      </c>
    </row>
    <row r="27" spans="1:9" ht="22.5" x14ac:dyDescent="0.25">
      <c r="A27" s="3" t="s">
        <v>32</v>
      </c>
      <c r="B27" s="2" t="s">
        <v>33</v>
      </c>
      <c r="C27" s="2">
        <f>C16*20</f>
        <v>300000000</v>
      </c>
      <c r="D27" s="4" t="s">
        <v>49</v>
      </c>
      <c r="E27" s="2"/>
      <c r="F27" s="5"/>
      <c r="G27" s="5" t="s">
        <v>57</v>
      </c>
      <c r="H27" s="10">
        <v>0.15</v>
      </c>
      <c r="I27" s="1" t="s">
        <v>56</v>
      </c>
    </row>
    <row r="28" spans="1:9" ht="22.5" x14ac:dyDescent="0.25">
      <c r="A28" s="3" t="s">
        <v>32</v>
      </c>
      <c r="B28" s="2" t="s">
        <v>34</v>
      </c>
      <c r="C28" s="2">
        <f>C27*C12</f>
        <v>30000000</v>
      </c>
      <c r="D28" s="4" t="s">
        <v>50</v>
      </c>
      <c r="E28" s="2"/>
      <c r="F28" s="5"/>
      <c r="G28" s="5" t="s">
        <v>35</v>
      </c>
      <c r="H28" s="2">
        <v>10000000</v>
      </c>
      <c r="I28" s="1" t="s">
        <v>38</v>
      </c>
    </row>
    <row r="29" spans="1:9" ht="22.5" x14ac:dyDescent="0.25">
      <c r="A29" s="3" t="s">
        <v>56</v>
      </c>
      <c r="B29" s="2" t="s">
        <v>57</v>
      </c>
      <c r="C29" s="10">
        <v>0.15</v>
      </c>
      <c r="D29" s="4" t="s">
        <v>58</v>
      </c>
      <c r="E29" s="2"/>
      <c r="F29" s="5"/>
      <c r="G29" s="5" t="s">
        <v>36</v>
      </c>
      <c r="H29" s="2">
        <v>9000</v>
      </c>
      <c r="I29" s="1" t="s">
        <v>21</v>
      </c>
    </row>
    <row r="30" spans="1:9" x14ac:dyDescent="0.25">
      <c r="A30" s="3" t="s">
        <v>38</v>
      </c>
      <c r="B30" s="2" t="s">
        <v>35</v>
      </c>
      <c r="C30" s="2">
        <f>C15*20</f>
        <v>10000000</v>
      </c>
      <c r="D30" s="4" t="s">
        <v>55</v>
      </c>
      <c r="E30" s="2"/>
      <c r="F30" s="5"/>
      <c r="G30" s="5" t="s">
        <v>52</v>
      </c>
      <c r="H30" s="2">
        <v>15000000</v>
      </c>
      <c r="I30" s="1" t="s">
        <v>51</v>
      </c>
    </row>
    <row r="31" spans="1:9" x14ac:dyDescent="0.25">
      <c r="A31" s="3" t="s">
        <v>21</v>
      </c>
      <c r="B31" s="2" t="s">
        <v>36</v>
      </c>
      <c r="C31" s="2">
        <v>9000</v>
      </c>
      <c r="D31" s="2" t="s">
        <v>39</v>
      </c>
      <c r="E31" s="2"/>
      <c r="F31" s="5"/>
      <c r="G31" s="5"/>
      <c r="H31" s="3"/>
    </row>
    <row r="32" spans="1:9" x14ac:dyDescent="0.25">
      <c r="A32" s="3" t="s">
        <v>51</v>
      </c>
      <c r="B32" s="1" t="s">
        <v>52</v>
      </c>
      <c r="C32" s="1">
        <v>15000000</v>
      </c>
      <c r="D32" s="2" t="s">
        <v>53</v>
      </c>
      <c r="E32" s="2"/>
      <c r="F32" s="5"/>
      <c r="G32" s="5"/>
      <c r="H32" s="3"/>
    </row>
    <row r="33" spans="1:8" x14ac:dyDescent="0.25">
      <c r="A33" s="3"/>
      <c r="B33" s="2"/>
      <c r="C33" s="2"/>
      <c r="D33" s="2"/>
      <c r="E33" s="2"/>
      <c r="F33" s="5"/>
      <c r="G33" s="5"/>
      <c r="H33" s="3"/>
    </row>
    <row r="34" spans="1:8" x14ac:dyDescent="0.25">
      <c r="A34" s="3"/>
      <c r="B34" s="2"/>
      <c r="C34" s="2"/>
      <c r="D34" s="2"/>
      <c r="E34" s="2"/>
      <c r="F34" s="5"/>
      <c r="G34" s="5"/>
      <c r="H34" s="3"/>
    </row>
    <row r="35" spans="1:8" x14ac:dyDescent="0.25">
      <c r="A35" s="3"/>
      <c r="B35" s="1" t="s">
        <v>7</v>
      </c>
      <c r="C35" s="3">
        <v>9.5831356256908778E-2</v>
      </c>
      <c r="D35" s="2"/>
      <c r="E35" s="2"/>
      <c r="F35" s="5"/>
      <c r="G35" s="5"/>
      <c r="H35" s="3"/>
    </row>
    <row r="36" spans="1:8" x14ac:dyDescent="0.25">
      <c r="A36" s="3"/>
      <c r="B36" s="2"/>
      <c r="C36" s="2"/>
      <c r="D36" s="2"/>
      <c r="E36" s="2"/>
      <c r="F36" s="5"/>
      <c r="G36" s="5"/>
      <c r="H36" s="3"/>
    </row>
    <row r="37" spans="1:8" x14ac:dyDescent="0.25">
      <c r="A37" s="3"/>
      <c r="B37" s="2"/>
      <c r="C37" s="2"/>
      <c r="D37" s="2"/>
      <c r="E37" s="2"/>
      <c r="F37" s="5"/>
      <c r="G37" s="5"/>
      <c r="H37" s="3"/>
    </row>
    <row r="38" spans="1:8" x14ac:dyDescent="0.25">
      <c r="A38" s="3"/>
      <c r="B38" s="2"/>
      <c r="C38" s="2"/>
      <c r="D38" s="2"/>
      <c r="E38" s="2"/>
      <c r="F38" s="5"/>
      <c r="G38" s="5"/>
      <c r="H38" s="3"/>
    </row>
    <row r="39" spans="1:8" x14ac:dyDescent="0.25">
      <c r="A39" s="3"/>
      <c r="B39" s="2"/>
      <c r="C39" s="2"/>
      <c r="D39" s="2"/>
      <c r="E39" s="2"/>
      <c r="F39" s="5"/>
      <c r="G39" s="5"/>
      <c r="H39" s="3"/>
    </row>
    <row r="40" spans="1:8" x14ac:dyDescent="0.25">
      <c r="A40" s="3"/>
      <c r="B40" s="2"/>
      <c r="C40" s="2"/>
      <c r="D40" s="2"/>
      <c r="E40" s="2"/>
      <c r="F40" s="5"/>
      <c r="G40" s="5"/>
      <c r="H40" s="3"/>
    </row>
    <row r="41" spans="1:8" x14ac:dyDescent="0.25">
      <c r="A41" s="3"/>
      <c r="B41" s="2"/>
      <c r="C41" s="2"/>
      <c r="D41" s="2"/>
      <c r="E41" s="2"/>
      <c r="F41" s="5"/>
      <c r="G41" s="5"/>
      <c r="H41" s="3"/>
    </row>
    <row r="42" spans="1:8" x14ac:dyDescent="0.25">
      <c r="A42" s="3"/>
      <c r="B42" s="2"/>
      <c r="C42" s="2"/>
      <c r="D42" s="2"/>
      <c r="E42" s="2"/>
      <c r="F42" s="5"/>
      <c r="G42" s="5"/>
      <c r="H42" s="3"/>
    </row>
    <row r="43" spans="1:8" x14ac:dyDescent="0.25">
      <c r="A43" s="3"/>
      <c r="B43" s="2"/>
      <c r="C43" s="2"/>
      <c r="D43" s="2"/>
      <c r="E43" s="2"/>
      <c r="F43" s="5"/>
      <c r="G43" s="5"/>
      <c r="H43" s="3"/>
    </row>
    <row r="44" spans="1:8" x14ac:dyDescent="0.25">
      <c r="A44" s="3"/>
      <c r="B44" s="2"/>
      <c r="C44" s="2"/>
      <c r="D44" s="2"/>
      <c r="E44" s="2"/>
      <c r="F44" s="5"/>
      <c r="G44" s="5"/>
      <c r="H44" s="3"/>
    </row>
    <row r="45" spans="1:8" x14ac:dyDescent="0.25">
      <c r="A45" s="3"/>
      <c r="B45" s="2"/>
      <c r="C45" s="2"/>
      <c r="D45" s="2"/>
      <c r="E45" s="2"/>
      <c r="F45" s="5"/>
      <c r="G45" s="5"/>
      <c r="H45" s="3"/>
    </row>
    <row r="46" spans="1:8" x14ac:dyDescent="0.25">
      <c r="A46" s="3"/>
      <c r="B46" s="2"/>
      <c r="C46" s="2"/>
      <c r="D46" s="2"/>
      <c r="E46" s="2"/>
      <c r="F46" s="5"/>
      <c r="G46" s="5"/>
      <c r="H46" s="3"/>
    </row>
    <row r="47" spans="1:8" x14ac:dyDescent="0.25">
      <c r="A47" s="3"/>
      <c r="B47" s="2"/>
      <c r="C47" s="2"/>
      <c r="D47" s="2"/>
      <c r="E47" s="2"/>
      <c r="F47" s="5"/>
      <c r="G47" s="5"/>
      <c r="H47" s="3"/>
    </row>
    <row r="48" spans="1:8" x14ac:dyDescent="0.25">
      <c r="A48" s="3"/>
      <c r="B48" s="2"/>
      <c r="C48" s="2"/>
      <c r="D48" s="2"/>
      <c r="E48" s="2"/>
      <c r="F48" s="5"/>
      <c r="G48" s="5"/>
      <c r="H48" s="3"/>
    </row>
    <row r="49" spans="1:8" x14ac:dyDescent="0.25">
      <c r="A49" s="3"/>
      <c r="B49" s="2"/>
      <c r="C49" s="2"/>
      <c r="D49" s="2"/>
      <c r="E49" s="2"/>
      <c r="F49" s="5"/>
      <c r="G49" s="5"/>
      <c r="H49" s="3"/>
    </row>
    <row r="50" spans="1:8" x14ac:dyDescent="0.25">
      <c r="A50" s="3"/>
      <c r="B50" s="2"/>
      <c r="C50" s="2"/>
      <c r="D50" s="2"/>
      <c r="E50" s="2"/>
      <c r="F50" s="5"/>
      <c r="G50" s="5"/>
      <c r="H50" s="3"/>
    </row>
    <row r="51" spans="1:8" x14ac:dyDescent="0.25">
      <c r="A51" s="3"/>
      <c r="B51" s="2"/>
      <c r="C51" s="2"/>
      <c r="D51" s="2"/>
      <c r="E51" s="2"/>
      <c r="F51" s="5"/>
      <c r="G51" s="5"/>
      <c r="H51" s="3"/>
    </row>
    <row r="52" spans="1:8" x14ac:dyDescent="0.25">
      <c r="A52" s="3"/>
      <c r="B52" s="2"/>
      <c r="C52" s="2"/>
      <c r="D52" s="2"/>
      <c r="E52" s="2"/>
      <c r="F52" s="5"/>
      <c r="G52" s="5"/>
      <c r="H52" s="3"/>
    </row>
    <row r="53" spans="1:8" x14ac:dyDescent="0.25">
      <c r="A53" s="3"/>
      <c r="B53" s="2"/>
      <c r="C53" s="2"/>
      <c r="D53" s="2"/>
      <c r="E53" s="2"/>
      <c r="F53" s="5"/>
      <c r="G53" s="5"/>
      <c r="H53" s="3"/>
    </row>
    <row r="54" spans="1:8" x14ac:dyDescent="0.25">
      <c r="A54" s="3"/>
      <c r="B54" s="2"/>
      <c r="C54" s="2"/>
      <c r="D54" s="2"/>
      <c r="E54" s="2"/>
      <c r="F54" s="5"/>
      <c r="G54" s="5"/>
      <c r="H54" s="3"/>
    </row>
    <row r="55" spans="1:8" x14ac:dyDescent="0.25">
      <c r="A55" s="3"/>
      <c r="B55" s="2"/>
      <c r="C55" s="2"/>
      <c r="D55" s="2"/>
      <c r="E55" s="2"/>
      <c r="F55" s="5"/>
      <c r="G55" s="5"/>
      <c r="H55" s="3"/>
    </row>
    <row r="56" spans="1:8" x14ac:dyDescent="0.25">
      <c r="A56" s="3"/>
      <c r="B56" s="2"/>
      <c r="C56" s="2"/>
      <c r="D56" s="2"/>
      <c r="E56" s="2"/>
      <c r="F56" s="5"/>
      <c r="G56" s="5"/>
      <c r="H56" s="3"/>
    </row>
    <row r="57" spans="1:8" x14ac:dyDescent="0.25">
      <c r="A57" s="3"/>
      <c r="B57" s="2"/>
      <c r="C57" s="2"/>
      <c r="D57" s="2"/>
      <c r="E57" s="2"/>
      <c r="F57" s="5"/>
      <c r="G57" s="5"/>
      <c r="H57" s="3"/>
    </row>
    <row r="58" spans="1:8" x14ac:dyDescent="0.25">
      <c r="A58" s="3"/>
      <c r="B58" s="2"/>
      <c r="C58" s="2"/>
      <c r="D58" s="2"/>
      <c r="E58" s="2"/>
      <c r="F58" s="5"/>
      <c r="G58" s="5"/>
      <c r="H58" s="3"/>
    </row>
    <row r="59" spans="1:8" x14ac:dyDescent="0.25">
      <c r="A59" s="3"/>
      <c r="B59" s="2"/>
      <c r="C59" s="2"/>
      <c r="D59" s="2"/>
      <c r="E59" s="2"/>
      <c r="F59" s="5"/>
      <c r="G59" s="5"/>
      <c r="H59" s="3"/>
    </row>
    <row r="60" spans="1:8" x14ac:dyDescent="0.25">
      <c r="A60" s="3"/>
      <c r="B60" s="2"/>
      <c r="C60" s="2"/>
      <c r="D60" s="2"/>
      <c r="E60" s="2"/>
      <c r="F60" s="5"/>
      <c r="G60" s="5"/>
      <c r="H60" s="3"/>
    </row>
    <row r="61" spans="1:8" x14ac:dyDescent="0.25">
      <c r="A61" s="3"/>
      <c r="B61" s="2"/>
      <c r="C61" s="2"/>
      <c r="D61" s="2"/>
      <c r="E61" s="2"/>
      <c r="F61" s="5"/>
      <c r="G61" s="5"/>
      <c r="H61" s="3"/>
    </row>
    <row r="62" spans="1:8" x14ac:dyDescent="0.25">
      <c r="A62" s="3"/>
      <c r="B62" s="2"/>
      <c r="C62" s="2"/>
      <c r="D62" s="2"/>
      <c r="E62" s="2"/>
      <c r="F62" s="5"/>
      <c r="G62" s="5"/>
      <c r="H62" s="3"/>
    </row>
    <row r="63" spans="1:8" x14ac:dyDescent="0.25">
      <c r="A63" s="3"/>
      <c r="B63" s="2"/>
      <c r="C63" s="2"/>
      <c r="D63" s="2"/>
      <c r="E63" s="2"/>
      <c r="F63" s="5"/>
      <c r="G63" s="5"/>
      <c r="H63" s="3"/>
    </row>
    <row r="64" spans="1:8" x14ac:dyDescent="0.25">
      <c r="A64" s="3"/>
      <c r="B64" s="2"/>
      <c r="C64" s="2"/>
      <c r="D64" s="2"/>
      <c r="E64" s="2"/>
      <c r="F64" s="5"/>
      <c r="G64" s="5"/>
      <c r="H64" s="3"/>
    </row>
    <row r="65" spans="1:8" x14ac:dyDescent="0.25">
      <c r="A65" s="3"/>
      <c r="B65" s="2"/>
      <c r="C65" s="2"/>
      <c r="D65" s="2"/>
      <c r="E65" s="2"/>
      <c r="F65" s="5"/>
      <c r="G65" s="5"/>
      <c r="H65" s="3"/>
    </row>
    <row r="66" spans="1:8" x14ac:dyDescent="0.25">
      <c r="A66" s="3"/>
      <c r="B66" s="2"/>
      <c r="C66" s="2"/>
      <c r="D66" s="2"/>
      <c r="E66" s="2"/>
      <c r="F66" s="5"/>
      <c r="G66" s="5"/>
      <c r="H66" s="3"/>
    </row>
    <row r="67" spans="1:8" x14ac:dyDescent="0.25">
      <c r="A67" s="3"/>
      <c r="B67" s="2"/>
      <c r="C67" s="2"/>
      <c r="D67" s="2"/>
      <c r="E67" s="2"/>
      <c r="F67" s="5"/>
      <c r="G67" s="5"/>
      <c r="H67" s="3"/>
    </row>
    <row r="68" spans="1:8" x14ac:dyDescent="0.25">
      <c r="A68" s="3"/>
      <c r="B68" s="2"/>
      <c r="C68" s="2"/>
      <c r="D68" s="2"/>
      <c r="E68" s="2"/>
      <c r="F68" s="5"/>
      <c r="G68" s="5"/>
      <c r="H68" s="3"/>
    </row>
    <row r="69" spans="1:8" x14ac:dyDescent="0.25">
      <c r="A69" s="3"/>
      <c r="B69" s="2"/>
      <c r="C69" s="2"/>
      <c r="D69" s="2"/>
      <c r="E69" s="2"/>
      <c r="F69" s="5"/>
      <c r="G69" s="5"/>
      <c r="H69" s="3"/>
    </row>
    <row r="70" spans="1:8" x14ac:dyDescent="0.25">
      <c r="A70" s="3"/>
      <c r="B70" s="2"/>
      <c r="C70" s="2"/>
      <c r="D70" s="2"/>
      <c r="E70" s="2"/>
      <c r="F70" s="5"/>
      <c r="G70" s="5"/>
      <c r="H70" s="3"/>
    </row>
    <row r="71" spans="1:8" x14ac:dyDescent="0.25">
      <c r="A71" s="3"/>
      <c r="B71" s="2"/>
      <c r="C71" s="2"/>
      <c r="D71" s="2"/>
      <c r="E71" s="2"/>
      <c r="F71" s="5"/>
      <c r="G71" s="5"/>
      <c r="H71" s="3"/>
    </row>
    <row r="72" spans="1:8" x14ac:dyDescent="0.25">
      <c r="A72" s="3"/>
      <c r="B72" s="2"/>
      <c r="C72" s="2"/>
      <c r="D72" s="2"/>
      <c r="E72" s="2"/>
      <c r="F72" s="5"/>
      <c r="G72" s="5"/>
      <c r="H72" s="3"/>
    </row>
    <row r="73" spans="1:8" x14ac:dyDescent="0.25">
      <c r="A73" s="3"/>
      <c r="B73" s="2"/>
      <c r="C73" s="2"/>
      <c r="D73" s="2"/>
      <c r="E73" s="2"/>
      <c r="F73" s="5"/>
      <c r="G73" s="5"/>
      <c r="H73" s="3"/>
    </row>
    <row r="74" spans="1:8" x14ac:dyDescent="0.25">
      <c r="A74" s="3"/>
      <c r="B74" s="2"/>
      <c r="C74" s="2"/>
      <c r="D74" s="2"/>
      <c r="E74" s="2"/>
      <c r="F74" s="5"/>
      <c r="G74" s="5"/>
      <c r="H74" s="3"/>
    </row>
    <row r="75" spans="1:8" x14ac:dyDescent="0.25">
      <c r="A75" s="3"/>
      <c r="B75" s="2"/>
      <c r="C75" s="2"/>
      <c r="D75" s="2"/>
      <c r="E75" s="2"/>
      <c r="F75" s="5"/>
      <c r="G75" s="5"/>
      <c r="H75" s="3"/>
    </row>
    <row r="76" spans="1:8" x14ac:dyDescent="0.25">
      <c r="A76" s="3"/>
      <c r="B76" s="2"/>
      <c r="C76" s="2"/>
      <c r="D76" s="2"/>
      <c r="E76" s="2"/>
      <c r="F76" s="5"/>
      <c r="G76" s="5"/>
      <c r="H76" s="3"/>
    </row>
    <row r="77" spans="1:8" x14ac:dyDescent="0.25">
      <c r="A77" s="3"/>
      <c r="B77" s="2"/>
      <c r="C77" s="2"/>
      <c r="D77" s="2"/>
      <c r="E77" s="2"/>
      <c r="F77" s="5"/>
      <c r="G77" s="5"/>
      <c r="H77" s="3"/>
    </row>
    <row r="78" spans="1:8" x14ac:dyDescent="0.25">
      <c r="A78" s="3"/>
      <c r="B78" s="2"/>
      <c r="C78" s="2"/>
      <c r="D78" s="2"/>
      <c r="E78" s="2"/>
      <c r="F78" s="5"/>
      <c r="G78" s="5"/>
      <c r="H78" s="3"/>
    </row>
    <row r="79" spans="1:8" x14ac:dyDescent="0.25">
      <c r="A79" s="3"/>
      <c r="B79" s="2"/>
      <c r="C79" s="2"/>
      <c r="D79" s="2"/>
      <c r="E79" s="2"/>
      <c r="F79" s="5"/>
      <c r="G79" s="5"/>
      <c r="H79" s="3"/>
    </row>
    <row r="80" spans="1:8" x14ac:dyDescent="0.25">
      <c r="A80" s="3"/>
      <c r="B80" s="2"/>
      <c r="C80" s="2"/>
      <c r="D80" s="2"/>
      <c r="E80" s="2"/>
      <c r="F80" s="5"/>
      <c r="G80" s="5"/>
      <c r="H80" s="3"/>
    </row>
    <row r="81" spans="1:8" x14ac:dyDescent="0.25">
      <c r="A81" s="3"/>
      <c r="B81" s="2"/>
      <c r="C81" s="2"/>
      <c r="D81" s="2"/>
      <c r="E81" s="2"/>
      <c r="F81" s="5"/>
      <c r="G81" s="5"/>
      <c r="H81" s="3"/>
    </row>
    <row r="82" spans="1:8" x14ac:dyDescent="0.25">
      <c r="A82" s="3"/>
      <c r="B82" s="2"/>
      <c r="C82" s="2"/>
      <c r="D82" s="2"/>
      <c r="E82" s="2"/>
      <c r="F82" s="5"/>
      <c r="G82" s="5"/>
      <c r="H82" s="3"/>
    </row>
    <row r="83" spans="1:8" x14ac:dyDescent="0.25">
      <c r="A83" s="3"/>
      <c r="B83" s="2"/>
      <c r="C83" s="2"/>
      <c r="D83" s="2"/>
      <c r="E83" s="2"/>
      <c r="F83" s="5"/>
      <c r="G83" s="5"/>
      <c r="H83" s="3"/>
    </row>
    <row r="84" spans="1:8" x14ac:dyDescent="0.25">
      <c r="A84" s="3"/>
      <c r="B84" s="2"/>
      <c r="C84" s="2"/>
      <c r="D84" s="2"/>
      <c r="E84" s="2"/>
      <c r="F84" s="5"/>
      <c r="G84" s="5"/>
      <c r="H84" s="3"/>
    </row>
    <row r="85" spans="1:8" x14ac:dyDescent="0.25">
      <c r="A85" s="3"/>
      <c r="B85" s="2"/>
      <c r="C85" s="2"/>
      <c r="D85" s="2"/>
      <c r="E85" s="2"/>
      <c r="F85" s="5"/>
      <c r="G85" s="5"/>
      <c r="H85" s="3"/>
    </row>
    <row r="86" spans="1:8" x14ac:dyDescent="0.25">
      <c r="A86" s="3"/>
      <c r="B86" s="2"/>
      <c r="C86" s="2"/>
      <c r="D86" s="2"/>
      <c r="E86" s="2"/>
      <c r="F86" s="5"/>
      <c r="G86" s="5"/>
      <c r="H86" s="3"/>
    </row>
    <row r="87" spans="1:8" x14ac:dyDescent="0.25">
      <c r="A87" s="3"/>
      <c r="B87" s="2"/>
      <c r="C87" s="2"/>
      <c r="D87" s="2"/>
      <c r="E87" s="2"/>
      <c r="F87" s="5"/>
      <c r="G87" s="5"/>
      <c r="H87" s="3"/>
    </row>
    <row r="88" spans="1:8" x14ac:dyDescent="0.25">
      <c r="A88" s="3"/>
      <c r="B88" s="2"/>
      <c r="C88" s="2"/>
      <c r="D88" s="2"/>
      <c r="E88" s="2"/>
      <c r="F88" s="5"/>
      <c r="G88" s="5"/>
      <c r="H88" s="3"/>
    </row>
    <row r="89" spans="1:8" x14ac:dyDescent="0.25">
      <c r="A89" s="3"/>
      <c r="B89" s="2"/>
      <c r="C89" s="2"/>
      <c r="D89" s="2"/>
      <c r="E89" s="2"/>
      <c r="F89" s="5"/>
      <c r="G89" s="5"/>
      <c r="H89" s="3"/>
    </row>
    <row r="90" spans="1:8" x14ac:dyDescent="0.25">
      <c r="A90" s="3"/>
      <c r="B90" s="2"/>
      <c r="C90" s="2"/>
      <c r="D90" s="2"/>
      <c r="E90" s="2"/>
      <c r="F90" s="5"/>
      <c r="G90" s="5"/>
      <c r="H90" s="3"/>
    </row>
    <row r="91" spans="1:8" x14ac:dyDescent="0.25">
      <c r="A91" s="3"/>
      <c r="B91" s="2"/>
      <c r="C91" s="2"/>
      <c r="D91" s="2"/>
      <c r="E91" s="2"/>
      <c r="F91" s="5"/>
      <c r="G91" s="5"/>
      <c r="H91" s="3"/>
    </row>
    <row r="92" spans="1:8" x14ac:dyDescent="0.25">
      <c r="A92" s="3"/>
      <c r="B92" s="2"/>
      <c r="C92" s="2"/>
      <c r="D92" s="2"/>
      <c r="E92" s="2"/>
      <c r="F92" s="5"/>
      <c r="G92" s="5"/>
      <c r="H92" s="3"/>
    </row>
    <row r="93" spans="1:8" x14ac:dyDescent="0.25">
      <c r="A93" s="3"/>
      <c r="B93" s="2"/>
      <c r="C93" s="2"/>
      <c r="D93" s="2"/>
      <c r="E93" s="2"/>
      <c r="F93" s="5"/>
      <c r="G93" s="5"/>
      <c r="H93" s="3"/>
    </row>
    <row r="94" spans="1:8" x14ac:dyDescent="0.25">
      <c r="A94" s="3"/>
      <c r="B94" s="2"/>
      <c r="C94" s="2"/>
      <c r="D94" s="2"/>
      <c r="E94" s="2"/>
      <c r="F94" s="5"/>
      <c r="G94" s="5"/>
      <c r="H94" s="3"/>
    </row>
    <row r="95" spans="1:8" x14ac:dyDescent="0.25">
      <c r="A95" s="3"/>
      <c r="B95" s="2"/>
      <c r="C95" s="2"/>
      <c r="D95" s="2"/>
      <c r="E95" s="2"/>
      <c r="F95" s="5"/>
      <c r="G95" s="5"/>
      <c r="H95" s="3"/>
    </row>
    <row r="96" spans="1:8" x14ac:dyDescent="0.25">
      <c r="A96" s="3"/>
      <c r="B96" s="2"/>
      <c r="C96" s="2"/>
      <c r="D96" s="2"/>
      <c r="E96" s="2"/>
      <c r="F96" s="5"/>
      <c r="G96" s="5"/>
      <c r="H96" s="3"/>
    </row>
    <row r="97" spans="1:8" x14ac:dyDescent="0.25">
      <c r="A97" s="3"/>
      <c r="B97" s="2"/>
      <c r="C97" s="2"/>
      <c r="D97" s="2"/>
      <c r="E97" s="2"/>
      <c r="F97" s="5"/>
      <c r="G97" s="5"/>
      <c r="H97" s="3"/>
    </row>
    <row r="98" spans="1:8" x14ac:dyDescent="0.25">
      <c r="A98" s="3"/>
      <c r="B98" s="2"/>
      <c r="C98" s="2"/>
      <c r="D98" s="2"/>
      <c r="E98" s="2"/>
      <c r="F98" s="5"/>
      <c r="G98" s="5"/>
      <c r="H98" s="3"/>
    </row>
    <row r="99" spans="1:8" x14ac:dyDescent="0.25">
      <c r="A99" s="3"/>
      <c r="B99" s="2"/>
      <c r="C99" s="2"/>
      <c r="D99" s="2"/>
      <c r="E99" s="2"/>
      <c r="F99" s="5"/>
      <c r="G99" s="5"/>
      <c r="H99" s="3"/>
    </row>
    <row r="100" spans="1:8" x14ac:dyDescent="0.25">
      <c r="A100" s="3"/>
      <c r="B100" s="2"/>
      <c r="C100" s="2"/>
      <c r="D100" s="2"/>
      <c r="E100" s="2"/>
      <c r="F100" s="5"/>
      <c r="G100" s="5"/>
      <c r="H100" s="3"/>
    </row>
    <row r="101" spans="1:8" x14ac:dyDescent="0.25">
      <c r="A101" s="3"/>
      <c r="B101" s="2"/>
      <c r="C101" s="2"/>
      <c r="D101" s="2"/>
      <c r="E101" s="2"/>
      <c r="F101" s="5"/>
      <c r="G101" s="5"/>
      <c r="H101" s="3"/>
    </row>
    <row r="102" spans="1:8" x14ac:dyDescent="0.25">
      <c r="A102" s="3"/>
      <c r="B102" s="2"/>
      <c r="C102" s="2"/>
      <c r="D102" s="2"/>
      <c r="E102" s="2"/>
      <c r="F102" s="5"/>
      <c r="G102" s="5"/>
      <c r="H102" s="3"/>
    </row>
    <row r="103" spans="1:8" x14ac:dyDescent="0.25">
      <c r="A103" s="3"/>
      <c r="B103" s="2"/>
      <c r="C103" s="2"/>
      <c r="D103" s="2"/>
      <c r="E103" s="2"/>
      <c r="F103" s="5"/>
      <c r="G103" s="5"/>
      <c r="H103" s="3"/>
    </row>
    <row r="104" spans="1:8" x14ac:dyDescent="0.25">
      <c r="A104" s="3"/>
      <c r="B104" s="2"/>
      <c r="C104" s="2"/>
      <c r="D104" s="2"/>
      <c r="E104" s="2"/>
      <c r="F104" s="5"/>
      <c r="G104" s="5"/>
      <c r="H104" s="3"/>
    </row>
    <row r="105" spans="1:8" x14ac:dyDescent="0.25">
      <c r="A105" s="3"/>
      <c r="B105" s="2"/>
      <c r="C105" s="2"/>
      <c r="D105" s="2"/>
      <c r="E105" s="2"/>
      <c r="F105" s="5"/>
      <c r="G105" s="5"/>
      <c r="H105" s="3"/>
    </row>
    <row r="106" spans="1:8" x14ac:dyDescent="0.25">
      <c r="A106" s="3"/>
      <c r="B106" s="2"/>
      <c r="C106" s="2"/>
      <c r="D106" s="2"/>
      <c r="E106" s="2"/>
      <c r="F106" s="5"/>
      <c r="G106" s="5"/>
      <c r="H106" s="3"/>
    </row>
    <row r="107" spans="1:8" x14ac:dyDescent="0.25">
      <c r="A107" s="3"/>
      <c r="B107" s="2"/>
      <c r="C107" s="2"/>
      <c r="D107" s="2"/>
      <c r="E107" s="2"/>
      <c r="F107" s="5"/>
      <c r="G107" s="5"/>
      <c r="H107" s="3"/>
    </row>
    <row r="108" spans="1:8" x14ac:dyDescent="0.25">
      <c r="A108" s="3"/>
      <c r="B108" s="2"/>
      <c r="C108" s="2"/>
      <c r="D108" s="2"/>
      <c r="E108" s="2"/>
      <c r="F108" s="5"/>
      <c r="G108" s="5"/>
      <c r="H108" s="3"/>
    </row>
    <row r="109" spans="1:8" x14ac:dyDescent="0.25">
      <c r="A109" s="3"/>
      <c r="B109" s="2"/>
      <c r="C109" s="2"/>
      <c r="D109" s="2"/>
      <c r="E109" s="2"/>
      <c r="F109" s="5"/>
      <c r="G109" s="5"/>
      <c r="H10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9F97-23BD-4C6D-8BF9-0CFC3F41D259}">
  <dimension ref="A4:Y24"/>
  <sheetViews>
    <sheetView tabSelected="1" zoomScale="85" zoomScaleNormal="85" workbookViewId="0">
      <selection activeCell="R8" sqref="R8"/>
    </sheetView>
  </sheetViews>
  <sheetFormatPr defaultRowHeight="15" x14ac:dyDescent="0.25"/>
  <cols>
    <col min="1" max="1" width="25.28515625" bestFit="1" customWidth="1"/>
    <col min="2" max="2" width="9.140625" customWidth="1"/>
    <col min="12" max="12" width="11" bestFit="1" customWidth="1"/>
    <col min="17" max="19" width="16.5703125" customWidth="1"/>
    <col min="20" max="20" width="19.85546875" bestFit="1" customWidth="1"/>
    <col min="21" max="24" width="13.28515625" customWidth="1"/>
  </cols>
  <sheetData>
    <row r="4" spans="1:25" ht="15.75" thickBot="1" x14ac:dyDescent="0.3">
      <c r="Q4" s="79" t="s">
        <v>170</v>
      </c>
      <c r="R4" s="79"/>
      <c r="S4" s="79"/>
      <c r="U4" t="s">
        <v>168</v>
      </c>
    </row>
    <row r="5" spans="1:25" x14ac:dyDescent="0.25">
      <c r="C5" t="s">
        <v>158</v>
      </c>
      <c r="D5" t="s">
        <v>159</v>
      </c>
      <c r="E5" t="s">
        <v>160</v>
      </c>
      <c r="F5" s="78" t="s">
        <v>161</v>
      </c>
      <c r="G5" t="s">
        <v>163</v>
      </c>
      <c r="H5" t="s">
        <v>164</v>
      </c>
      <c r="I5" t="s">
        <v>149</v>
      </c>
      <c r="J5" t="s">
        <v>122</v>
      </c>
      <c r="N5" s="28" t="s">
        <v>129</v>
      </c>
      <c r="O5" s="28" t="s">
        <v>130</v>
      </c>
      <c r="P5" s="28" t="s">
        <v>131</v>
      </c>
      <c r="Q5" s="28" t="s">
        <v>23</v>
      </c>
      <c r="R5" s="28" t="s">
        <v>24</v>
      </c>
      <c r="S5" s="28" t="s">
        <v>25</v>
      </c>
      <c r="T5" s="28" t="s">
        <v>174</v>
      </c>
      <c r="U5" s="63" t="s">
        <v>167</v>
      </c>
      <c r="V5" s="64" t="s">
        <v>166</v>
      </c>
      <c r="W5" s="64" t="s">
        <v>146</v>
      </c>
      <c r="X5" s="65"/>
    </row>
    <row r="6" spans="1:25" s="62" customFormat="1" x14ac:dyDescent="0.25">
      <c r="C6" s="62">
        <v>12.234351</v>
      </c>
      <c r="D6" s="62">
        <v>4.4585270000000001</v>
      </c>
      <c r="E6" s="62">
        <v>19.997496999999999</v>
      </c>
      <c r="F6" s="62">
        <v>15.843837000000001</v>
      </c>
      <c r="G6" s="62">
        <v>16.299506999999998</v>
      </c>
      <c r="H6" s="62">
        <f>F6/G6</f>
        <v>0.97204393973388292</v>
      </c>
      <c r="I6" s="73">
        <v>300</v>
      </c>
      <c r="J6" s="62">
        <f>-1019.2+1035</f>
        <v>15.799999999999955</v>
      </c>
      <c r="L6" s="62">
        <v>3736484179.2748799</v>
      </c>
      <c r="M6" s="62">
        <v>12125000</v>
      </c>
      <c r="T6" s="62">
        <v>15</v>
      </c>
      <c r="U6" s="66">
        <v>119234393796.765</v>
      </c>
      <c r="V6" s="67">
        <v>328875000</v>
      </c>
      <c r="W6" s="67">
        <v>1084.1926490000001</v>
      </c>
      <c r="X6" s="68">
        <v>19.039027999999998</v>
      </c>
    </row>
    <row r="7" spans="1:25" x14ac:dyDescent="0.25">
      <c r="C7" t="s">
        <v>151</v>
      </c>
      <c r="D7" t="s">
        <v>152</v>
      </c>
      <c r="E7" t="s">
        <v>153</v>
      </c>
      <c r="F7" t="s">
        <v>162</v>
      </c>
      <c r="T7" t="s">
        <v>166</v>
      </c>
      <c r="U7" s="69"/>
      <c r="V7" s="70"/>
      <c r="W7" s="70" t="s">
        <v>145</v>
      </c>
      <c r="X7" s="71"/>
    </row>
    <row r="8" spans="1:25" s="62" customFormat="1" x14ac:dyDescent="0.25">
      <c r="C8" s="62">
        <v>1085.1393889999999</v>
      </c>
      <c r="D8" s="62">
        <v>1074.1438189999999</v>
      </c>
      <c r="E8" s="62">
        <v>1062.7934849999999</v>
      </c>
      <c r="F8" s="62">
        <v>916.13199399999996</v>
      </c>
      <c r="T8" s="62">
        <f>V6</f>
        <v>328875000</v>
      </c>
      <c r="U8" s="66"/>
      <c r="V8" s="67"/>
      <c r="W8" s="67">
        <v>19.039027999999998</v>
      </c>
      <c r="X8" s="68"/>
    </row>
    <row r="9" spans="1:25" x14ac:dyDescent="0.25">
      <c r="U9" s="69"/>
      <c r="V9" s="70"/>
      <c r="W9" s="70"/>
      <c r="X9" s="71"/>
    </row>
    <row r="10" spans="1:25" x14ac:dyDescent="0.25">
      <c r="U10" s="69"/>
      <c r="V10" s="70"/>
      <c r="W10" s="70"/>
      <c r="X10" s="71"/>
    </row>
    <row r="11" spans="1:25" x14ac:dyDescent="0.25">
      <c r="I11" s="75" t="s">
        <v>169</v>
      </c>
      <c r="J11" s="76"/>
      <c r="K11" s="77"/>
      <c r="N11" s="75" t="s">
        <v>169</v>
      </c>
      <c r="O11" s="76"/>
      <c r="P11" s="77"/>
      <c r="T11" s="80" t="s">
        <v>169</v>
      </c>
      <c r="U11" s="69"/>
      <c r="V11" s="70"/>
      <c r="W11" s="70"/>
      <c r="X11" s="71"/>
    </row>
    <row r="12" spans="1:25" ht="15.75" thickBot="1" x14ac:dyDescent="0.3">
      <c r="C12" s="28" t="s">
        <v>99</v>
      </c>
      <c r="D12" s="28" t="s">
        <v>100</v>
      </c>
      <c r="E12" s="28" t="s">
        <v>101</v>
      </c>
      <c r="F12" s="28" t="s">
        <v>108</v>
      </c>
      <c r="G12" s="28" t="s">
        <v>112</v>
      </c>
      <c r="H12" s="28" t="s">
        <v>113</v>
      </c>
      <c r="I12" s="74" t="s">
        <v>3</v>
      </c>
      <c r="J12" s="74" t="s">
        <v>122</v>
      </c>
      <c r="K12" s="74" t="s">
        <v>127</v>
      </c>
      <c r="L12" s="28" t="s">
        <v>115</v>
      </c>
      <c r="M12" s="28" t="s">
        <v>118</v>
      </c>
      <c r="N12" s="28" t="s">
        <v>129</v>
      </c>
      <c r="O12" s="28" t="s">
        <v>130</v>
      </c>
      <c r="P12" s="28" t="s">
        <v>131</v>
      </c>
      <c r="Q12" s="28" t="s">
        <v>23</v>
      </c>
      <c r="R12" s="28" t="s">
        <v>24</v>
      </c>
      <c r="S12" s="28" t="s">
        <v>25</v>
      </c>
      <c r="T12" s="28" t="s">
        <v>136</v>
      </c>
      <c r="U12" s="48" t="s">
        <v>148</v>
      </c>
      <c r="V12" s="53" t="s">
        <v>147</v>
      </c>
      <c r="W12" s="53" t="s">
        <v>165</v>
      </c>
      <c r="X12" s="49" t="s">
        <v>145</v>
      </c>
      <c r="Y12" s="28" t="s">
        <v>154</v>
      </c>
    </row>
    <row r="13" spans="1:25" ht="15.75" thickBot="1" x14ac:dyDescent="0.3">
      <c r="B13" t="s">
        <v>71</v>
      </c>
      <c r="C13">
        <f>C6*C8</f>
        <v>13275.976168951538</v>
      </c>
      <c r="D13">
        <f t="shared" ref="D13:F13" si="0">D6*D8</f>
        <v>4789.0992188946129</v>
      </c>
      <c r="E13">
        <f t="shared" si="0"/>
        <v>21253.209527907042</v>
      </c>
      <c r="F13">
        <f t="shared" si="0"/>
        <v>14515.045983420978</v>
      </c>
      <c r="G13">
        <f>G6</f>
        <v>16.299506999999998</v>
      </c>
      <c r="H13">
        <f>H6</f>
        <v>0.97204393973388292</v>
      </c>
      <c r="I13" s="81">
        <f>I6</f>
        <v>300</v>
      </c>
      <c r="J13" s="81">
        <f>J6</f>
        <v>15.799999999999955</v>
      </c>
      <c r="K13" s="82"/>
      <c r="L13">
        <f>L6</f>
        <v>3736484179.2748799</v>
      </c>
      <c r="M13">
        <f>M6</f>
        <v>12125000</v>
      </c>
      <c r="T13" s="72">
        <f>T8/T6</f>
        <v>21925000</v>
      </c>
      <c r="U13">
        <f>U6</f>
        <v>119234393796.765</v>
      </c>
      <c r="V13">
        <f>V6</f>
        <v>328875000</v>
      </c>
      <c r="W13">
        <f>W6*W8</f>
        <v>20641.974201705172</v>
      </c>
      <c r="X13">
        <f>X6</f>
        <v>19.039027999999998</v>
      </c>
      <c r="Y13" s="90">
        <f>C24</f>
        <v>0.15143172111778949</v>
      </c>
    </row>
    <row r="14" spans="1:25" ht="45.75" thickBot="1" x14ac:dyDescent="0.3">
      <c r="A14" s="83" t="s">
        <v>175</v>
      </c>
      <c r="B14" s="84" t="s">
        <v>71</v>
      </c>
      <c r="C14" s="85">
        <f>C13/$W$13</f>
        <v>0.64315438238726452</v>
      </c>
      <c r="D14" s="85">
        <f>D13/$W$13</f>
        <v>0.23200780952913891</v>
      </c>
      <c r="E14" s="85">
        <f>E13/$W$13</f>
        <v>1.0296112823429155</v>
      </c>
      <c r="F14" s="85">
        <f>F13/$W$13</f>
        <v>0.70318109312538202</v>
      </c>
      <c r="G14" s="85">
        <f>G13/X13</f>
        <v>0.85611024890556386</v>
      </c>
      <c r="H14" s="85">
        <f>H13</f>
        <v>0.97204393973388292</v>
      </c>
      <c r="I14" s="86">
        <f>I13</f>
        <v>300</v>
      </c>
      <c r="J14" s="86">
        <f>J13</f>
        <v>15.799999999999955</v>
      </c>
      <c r="K14" s="86"/>
      <c r="L14" s="85">
        <f>L13/U13</f>
        <v>3.1337301765828711E-2</v>
      </c>
      <c r="M14" s="85">
        <f>M13/V13</f>
        <v>3.6868110984416572E-2</v>
      </c>
      <c r="N14" s="85"/>
      <c r="O14" s="85"/>
      <c r="P14" s="85"/>
      <c r="Q14" s="85" t="s">
        <v>171</v>
      </c>
      <c r="R14" s="85" t="s">
        <v>172</v>
      </c>
      <c r="S14" s="85" t="s">
        <v>173</v>
      </c>
      <c r="T14" s="85">
        <f>T13</f>
        <v>21925000</v>
      </c>
      <c r="U14" s="84"/>
      <c r="V14" s="84"/>
      <c r="W14" s="84"/>
      <c r="X14" s="84"/>
      <c r="Y14" s="87"/>
    </row>
    <row r="19" spans="1:19" x14ac:dyDescent="0.25">
      <c r="A19" t="s">
        <v>198</v>
      </c>
      <c r="C19" t="s">
        <v>199</v>
      </c>
      <c r="D19" t="s">
        <v>200</v>
      </c>
      <c r="E19" t="s">
        <v>201</v>
      </c>
      <c r="F19" t="s">
        <v>202</v>
      </c>
      <c r="G19" t="s">
        <v>203</v>
      </c>
      <c r="H19" t="s">
        <v>204</v>
      </c>
      <c r="I19" t="s">
        <v>205</v>
      </c>
      <c r="J19" t="s">
        <v>206</v>
      </c>
      <c r="K19" t="s">
        <v>207</v>
      </c>
      <c r="L19" t="s">
        <v>208</v>
      </c>
      <c r="M19" t="s">
        <v>209</v>
      </c>
      <c r="N19" t="s">
        <v>210</v>
      </c>
      <c r="O19" t="s">
        <v>211</v>
      </c>
      <c r="P19" t="s">
        <v>212</v>
      </c>
      <c r="Q19" t="s">
        <v>213</v>
      </c>
    </row>
    <row r="20" spans="1:19" x14ac:dyDescent="0.25">
      <c r="A20" t="s">
        <v>176</v>
      </c>
      <c r="B20" t="s">
        <v>176</v>
      </c>
      <c r="C20" t="s">
        <v>177</v>
      </c>
      <c r="D20" t="s">
        <v>178</v>
      </c>
      <c r="E20" t="s">
        <v>179</v>
      </c>
      <c r="F20" t="s">
        <v>180</v>
      </c>
      <c r="G20" t="s">
        <v>181</v>
      </c>
      <c r="H20" t="s">
        <v>182</v>
      </c>
      <c r="I20" t="s">
        <v>183</v>
      </c>
      <c r="J20" t="s">
        <v>184</v>
      </c>
      <c r="K20" t="s">
        <v>185</v>
      </c>
      <c r="L20" t="s">
        <v>186</v>
      </c>
      <c r="M20" t="s">
        <v>187</v>
      </c>
      <c r="N20" t="s">
        <v>188</v>
      </c>
      <c r="O20" t="s">
        <v>189</v>
      </c>
      <c r="P20" t="s">
        <v>190</v>
      </c>
      <c r="Q20" t="s">
        <v>191</v>
      </c>
      <c r="R20" t="s">
        <v>192</v>
      </c>
      <c r="S20" t="s">
        <v>193</v>
      </c>
    </row>
    <row r="21" spans="1:19" x14ac:dyDescent="0.25">
      <c r="A21" t="s">
        <v>194</v>
      </c>
      <c r="B21" t="s">
        <v>195</v>
      </c>
      <c r="C21">
        <v>7.9373153625999997</v>
      </c>
      <c r="D21">
        <v>1.4433643515000001</v>
      </c>
      <c r="E21">
        <v>0.63890738609999997</v>
      </c>
      <c r="F21">
        <v>0.61449633709999996</v>
      </c>
      <c r="G21">
        <v>1.7289687721</v>
      </c>
      <c r="H21">
        <v>9.0251306198000005</v>
      </c>
      <c r="I21">
        <v>7.6731817330999998</v>
      </c>
      <c r="J21">
        <v>1.870736065</v>
      </c>
      <c r="K21">
        <v>2.4602056870000002</v>
      </c>
      <c r="L21">
        <v>3.9669040773000002</v>
      </c>
      <c r="M21">
        <v>6.5187954068999998</v>
      </c>
      <c r="N21">
        <v>2.4303263150999999</v>
      </c>
      <c r="O21">
        <v>1.2733084891999999</v>
      </c>
      <c r="P21">
        <v>1E-3</v>
      </c>
      <c r="Q21">
        <v>4.8325026974999998</v>
      </c>
      <c r="R21">
        <v>109381527393.77901</v>
      </c>
      <c r="S21">
        <v>29585670.725173701</v>
      </c>
    </row>
    <row r="23" spans="1:19" x14ac:dyDescent="0.25">
      <c r="A23" t="s">
        <v>197</v>
      </c>
    </row>
    <row r="24" spans="1:19" x14ac:dyDescent="0.25">
      <c r="A24" s="88" t="s">
        <v>196</v>
      </c>
      <c r="C24" s="91">
        <f>C21/SUM($C$21:$Q$21)</f>
        <v>0.15143172111778949</v>
      </c>
      <c r="D24" s="89">
        <f t="shared" ref="D24:Q24" si="1">D21/SUM($C$21:$Q$21)</f>
        <v>2.7537163129185593E-2</v>
      </c>
      <c r="E24" s="89">
        <f t="shared" si="1"/>
        <v>1.2189366390539722E-2</v>
      </c>
      <c r="F24" s="89">
        <f t="shared" si="1"/>
        <v>1.1723641268695777E-2</v>
      </c>
      <c r="G24" s="89">
        <f t="shared" si="1"/>
        <v>3.2986054472736788E-2</v>
      </c>
      <c r="H24" s="89">
        <f t="shared" si="1"/>
        <v>0.17218555653072776</v>
      </c>
      <c r="I24" s="89">
        <f t="shared" si="1"/>
        <v>0.14639245931539949</v>
      </c>
      <c r="J24" s="89">
        <f t="shared" si="1"/>
        <v>3.5690755518535296E-2</v>
      </c>
      <c r="K24" s="89">
        <f t="shared" si="1"/>
        <v>4.6936925706848535E-2</v>
      </c>
      <c r="L24" s="89">
        <f t="shared" si="1"/>
        <v>7.5682404502312908E-2</v>
      </c>
      <c r="M24" s="89">
        <f t="shared" si="1"/>
        <v>0.12436855069826148</v>
      </c>
      <c r="N24" s="89">
        <f t="shared" si="1"/>
        <v>4.6366873427704437E-2</v>
      </c>
      <c r="O24" s="89">
        <f t="shared" si="1"/>
        <v>2.4292759859586465E-2</v>
      </c>
      <c r="P24" s="89">
        <f t="shared" si="1"/>
        <v>1.907845590101204E-5</v>
      </c>
      <c r="Q24" s="89">
        <f t="shared" si="1"/>
        <v>9.219668960577547E-2</v>
      </c>
    </row>
  </sheetData>
  <mergeCells count="1">
    <mergeCell ref="Q4:S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FF4C-91EA-46EF-84FC-70E46810ABA2}">
  <dimension ref="A1:AP80"/>
  <sheetViews>
    <sheetView zoomScale="25" zoomScaleNormal="25" workbookViewId="0">
      <selection activeCell="Y47" sqref="Y47"/>
    </sheetView>
  </sheetViews>
  <sheetFormatPr defaultRowHeight="12.75" x14ac:dyDescent="0.25"/>
  <cols>
    <col min="1" max="1" width="13.7109375" style="13" customWidth="1"/>
    <col min="2" max="2" width="9.140625" style="13"/>
    <col min="3" max="3" width="10.85546875" style="13" customWidth="1"/>
    <col min="4" max="4" width="9.140625" style="13"/>
    <col min="5" max="5" width="16" style="13" customWidth="1"/>
    <col min="6" max="6" width="9.140625" style="13"/>
    <col min="7" max="7" width="18.7109375" style="13" customWidth="1"/>
    <col min="8" max="8" width="9.140625" style="13"/>
    <col min="9" max="9" width="19.5703125" style="13" customWidth="1"/>
    <col min="10" max="10" width="9.140625" style="21"/>
    <col min="11" max="11" width="20.5703125" style="13" bestFit="1" customWidth="1"/>
    <col min="12" max="12" width="18" style="13" bestFit="1" customWidth="1"/>
    <col min="13" max="13" width="22.42578125" style="13" customWidth="1"/>
    <col min="14" max="14" width="18" style="13" bestFit="1" customWidth="1"/>
    <col min="15" max="15" width="31.28515625" style="13" customWidth="1"/>
    <col min="16" max="16" width="26" style="13" customWidth="1"/>
    <col min="17" max="17" width="24.28515625" style="13" customWidth="1"/>
    <col min="18" max="18" width="13" style="13" customWidth="1"/>
    <col min="19" max="19" width="27.28515625" style="13" customWidth="1"/>
    <col min="20" max="20" width="9.140625" style="13"/>
    <col min="21" max="21" width="44.5703125" style="13" customWidth="1"/>
    <col min="22" max="22" width="21.5703125" style="13" customWidth="1"/>
    <col min="23" max="24" width="9.140625" style="13"/>
    <col min="25" max="25" width="47.140625" style="13" customWidth="1"/>
    <col min="26" max="26" width="15.7109375" style="13" customWidth="1"/>
    <col min="27" max="27" width="26" style="13" bestFit="1" customWidth="1"/>
    <col min="28" max="28" width="21.85546875" style="13" bestFit="1" customWidth="1"/>
    <col min="29" max="29" width="18.7109375" style="13" customWidth="1"/>
    <col min="30" max="30" width="9.140625" style="13"/>
    <col min="31" max="31" width="15.140625" style="13" customWidth="1"/>
    <col min="32" max="32" width="14.7109375" style="13" customWidth="1"/>
    <col min="33" max="33" width="18.5703125" style="13" customWidth="1"/>
    <col min="34" max="34" width="9.140625" style="13"/>
    <col min="35" max="35" width="38.140625" style="13" customWidth="1"/>
    <col min="36" max="36" width="9.140625" style="13"/>
    <col min="37" max="37" width="29.140625" style="13" bestFit="1" customWidth="1"/>
    <col min="38" max="38" width="9.140625" style="13"/>
    <col min="39" max="39" width="34.5703125" style="13" bestFit="1" customWidth="1"/>
    <col min="40" max="40" width="23.28515625" style="13" customWidth="1"/>
    <col min="41" max="16384" width="9.140625" style="13"/>
  </cols>
  <sheetData>
    <row r="1" spans="1:42" ht="89.25" x14ac:dyDescent="0.25">
      <c r="A1" s="13" t="s">
        <v>75</v>
      </c>
      <c r="B1" s="24" t="s">
        <v>83</v>
      </c>
      <c r="C1" s="24" t="s">
        <v>83</v>
      </c>
      <c r="D1" s="24" t="s">
        <v>83</v>
      </c>
      <c r="E1" s="24" t="s">
        <v>77</v>
      </c>
      <c r="F1" s="26" t="s">
        <v>12</v>
      </c>
      <c r="G1" s="26" t="s">
        <v>44</v>
      </c>
      <c r="H1" s="24" t="s">
        <v>62</v>
      </c>
      <c r="I1" s="26" t="s">
        <v>84</v>
      </c>
      <c r="J1" s="26" t="s">
        <v>95</v>
      </c>
      <c r="K1" s="24" t="s">
        <v>41</v>
      </c>
      <c r="L1" s="11" t="s">
        <v>48</v>
      </c>
      <c r="M1" s="11" t="s">
        <v>17</v>
      </c>
      <c r="N1" s="11" t="s">
        <v>18</v>
      </c>
      <c r="O1" s="11" t="s">
        <v>19</v>
      </c>
      <c r="P1" s="11" t="s">
        <v>70</v>
      </c>
      <c r="Q1" s="11" t="s">
        <v>70</v>
      </c>
      <c r="R1" s="11" t="s">
        <v>70</v>
      </c>
      <c r="S1" s="11"/>
      <c r="T1" s="11"/>
      <c r="U1" s="11"/>
      <c r="V1" s="11"/>
      <c r="W1" s="11" t="s">
        <v>49</v>
      </c>
      <c r="X1" s="11" t="s">
        <v>50</v>
      </c>
      <c r="Y1" s="11" t="s">
        <v>58</v>
      </c>
      <c r="Z1" s="11" t="s">
        <v>55</v>
      </c>
      <c r="AA1" s="12" t="s">
        <v>39</v>
      </c>
      <c r="AB1" s="12" t="s">
        <v>53</v>
      </c>
    </row>
    <row r="2" spans="1:42" x14ac:dyDescent="0.25">
      <c r="A2" s="13" t="s">
        <v>85</v>
      </c>
      <c r="B2" s="31" t="s">
        <v>86</v>
      </c>
      <c r="C2" s="31" t="s">
        <v>86</v>
      </c>
      <c r="D2" s="31" t="s">
        <v>86</v>
      </c>
      <c r="E2" s="31" t="s">
        <v>86</v>
      </c>
      <c r="F2" s="31" t="s">
        <v>22</v>
      </c>
      <c r="G2" s="31" t="s">
        <v>87</v>
      </c>
      <c r="H2" s="33" t="s">
        <v>22</v>
      </c>
      <c r="I2" s="33" t="s">
        <v>22</v>
      </c>
      <c r="J2" s="33" t="s">
        <v>22</v>
      </c>
      <c r="K2" s="33" t="s">
        <v>38</v>
      </c>
      <c r="L2" s="33" t="s">
        <v>32</v>
      </c>
      <c r="M2" s="33" t="s">
        <v>22</v>
      </c>
      <c r="N2" s="33" t="s">
        <v>22</v>
      </c>
      <c r="O2" s="33" t="s">
        <v>22</v>
      </c>
      <c r="P2" s="33" t="s">
        <v>88</v>
      </c>
      <c r="Q2" s="33" t="s">
        <v>88</v>
      </c>
      <c r="R2" s="33" t="s">
        <v>88</v>
      </c>
      <c r="S2" s="14"/>
      <c r="T2" s="14"/>
      <c r="U2" s="14"/>
      <c r="V2" s="14" t="s">
        <v>37</v>
      </c>
      <c r="W2" s="20" t="s">
        <v>32</v>
      </c>
      <c r="X2" s="14" t="s">
        <v>32</v>
      </c>
      <c r="Y2" s="14" t="s">
        <v>89</v>
      </c>
      <c r="Z2" s="14" t="s">
        <v>38</v>
      </c>
      <c r="AA2" s="20" t="s">
        <v>86</v>
      </c>
      <c r="AB2" s="14" t="s">
        <v>90</v>
      </c>
    </row>
    <row r="3" spans="1:42" x14ac:dyDescent="0.25">
      <c r="A3" s="13" t="s">
        <v>74</v>
      </c>
      <c r="B3" s="31" t="s">
        <v>0</v>
      </c>
      <c r="C3" s="31" t="s">
        <v>1</v>
      </c>
      <c r="D3" s="31" t="s">
        <v>2</v>
      </c>
      <c r="E3" s="32" t="s">
        <v>77</v>
      </c>
      <c r="F3" s="31" t="s">
        <v>3</v>
      </c>
      <c r="G3" s="31" t="s">
        <v>43</v>
      </c>
      <c r="H3" s="31" t="s">
        <v>61</v>
      </c>
      <c r="I3" s="31" t="s">
        <v>5</v>
      </c>
      <c r="J3" s="31" t="s">
        <v>125</v>
      </c>
      <c r="K3" s="31" t="s">
        <v>118</v>
      </c>
      <c r="L3" s="31" t="s">
        <v>115</v>
      </c>
      <c r="M3" s="31" t="s">
        <v>14</v>
      </c>
      <c r="N3" s="31" t="s">
        <v>15</v>
      </c>
      <c r="O3" s="59" t="s">
        <v>16</v>
      </c>
      <c r="P3" s="59" t="s">
        <v>23</v>
      </c>
      <c r="Q3" s="59" t="s">
        <v>24</v>
      </c>
      <c r="R3" s="59" t="s">
        <v>25</v>
      </c>
      <c r="S3" s="12"/>
      <c r="T3" s="12"/>
      <c r="U3" s="12"/>
      <c r="V3" s="12"/>
      <c r="W3" s="23" t="s">
        <v>33</v>
      </c>
      <c r="X3" s="12" t="s">
        <v>34</v>
      </c>
      <c r="Y3" s="12" t="s">
        <v>57</v>
      </c>
      <c r="Z3" s="12" t="s">
        <v>35</v>
      </c>
      <c r="AA3" s="23" t="s">
        <v>36</v>
      </c>
      <c r="AB3" s="13" t="s">
        <v>52</v>
      </c>
    </row>
    <row r="4" spans="1:42" x14ac:dyDescent="0.25">
      <c r="A4" s="13" t="s">
        <v>73</v>
      </c>
      <c r="B4" s="12">
        <v>8000</v>
      </c>
      <c r="C4" s="12">
        <v>6000</v>
      </c>
      <c r="D4" s="12">
        <v>9000</v>
      </c>
      <c r="E4" s="12"/>
      <c r="F4" s="12">
        <v>300</v>
      </c>
      <c r="G4" s="15">
        <f>3/30</f>
        <v>0.1</v>
      </c>
      <c r="H4" s="16">
        <v>30</v>
      </c>
      <c r="I4" s="16">
        <v>26</v>
      </c>
      <c r="J4" s="22">
        <v>5322</v>
      </c>
      <c r="K4" s="12">
        <v>500000</v>
      </c>
      <c r="L4" s="12">
        <f>K4*H4</f>
        <v>15000000</v>
      </c>
      <c r="M4" s="12">
        <v>2000</v>
      </c>
      <c r="N4" s="12">
        <v>2100</v>
      </c>
      <c r="O4" s="12">
        <v>2000</v>
      </c>
      <c r="P4" s="12">
        <v>7000</v>
      </c>
      <c r="Q4" s="12">
        <v>4000</v>
      </c>
      <c r="R4" s="12">
        <v>12000</v>
      </c>
      <c r="S4" s="12"/>
      <c r="T4" s="12"/>
      <c r="U4" s="12"/>
      <c r="V4" s="12" t="s">
        <v>72</v>
      </c>
      <c r="W4" s="12">
        <f>L4*20</f>
        <v>300000000</v>
      </c>
      <c r="X4" s="12">
        <f>W4*G4</f>
        <v>30000000</v>
      </c>
      <c r="Y4" s="15">
        <v>0.15</v>
      </c>
      <c r="Z4" s="12">
        <f>K4*20</f>
        <v>10000000</v>
      </c>
      <c r="AA4" s="12">
        <v>9000</v>
      </c>
      <c r="AB4" s="13">
        <v>15000000</v>
      </c>
    </row>
    <row r="5" spans="1:42" ht="38.25" x14ac:dyDescent="0.25">
      <c r="A5" s="17" t="s">
        <v>71</v>
      </c>
      <c r="B5" s="18" t="s">
        <v>76</v>
      </c>
    </row>
    <row r="6" spans="1:42" x14ac:dyDescent="0.25">
      <c r="B6" s="13">
        <v>1</v>
      </c>
      <c r="C6" s="13">
        <v>2</v>
      </c>
      <c r="D6" s="13">
        <v>3</v>
      </c>
      <c r="E6" s="13" t="s">
        <v>81</v>
      </c>
      <c r="F6" s="13" t="s">
        <v>82</v>
      </c>
      <c r="G6" s="18" t="s">
        <v>43</v>
      </c>
      <c r="J6" s="21" t="s">
        <v>96</v>
      </c>
      <c r="M6" s="13" t="s">
        <v>92</v>
      </c>
    </row>
    <row r="7" spans="1:42" x14ac:dyDescent="0.25">
      <c r="A7" s="13" t="s">
        <v>78</v>
      </c>
      <c r="B7" s="13">
        <v>12.234351</v>
      </c>
      <c r="C7" s="13">
        <v>4.4585270000000001</v>
      </c>
      <c r="E7" s="19">
        <v>15.843837000000001</v>
      </c>
      <c r="F7" s="13">
        <v>300</v>
      </c>
      <c r="G7" s="13">
        <f>E7/H7</f>
        <v>0.97204393973388292</v>
      </c>
      <c r="H7" s="13">
        <v>16.299506999999998</v>
      </c>
      <c r="I7" s="13">
        <f>ABS(I11-(-1015))</f>
        <v>20</v>
      </c>
      <c r="J7" s="22">
        <f>J4</f>
        <v>5322</v>
      </c>
      <c r="K7" s="13" t="s">
        <v>72</v>
      </c>
      <c r="L7" s="13">
        <v>3736484179.2748799</v>
      </c>
      <c r="M7" s="19">
        <v>1</v>
      </c>
      <c r="N7" s="13">
        <v>2</v>
      </c>
      <c r="O7" s="13">
        <v>3</v>
      </c>
      <c r="P7" s="19">
        <f>E7</f>
        <v>15.843837000000001</v>
      </c>
      <c r="Q7" s="13">
        <v>15.843837000000001</v>
      </c>
      <c r="R7" s="13">
        <v>15.843837000000001</v>
      </c>
      <c r="W7" s="13" t="s">
        <v>93</v>
      </c>
      <c r="AA7" s="13" t="s">
        <v>94</v>
      </c>
    </row>
    <row r="8" spans="1:42" x14ac:dyDescent="0.25">
      <c r="A8" s="13" t="s">
        <v>79</v>
      </c>
      <c r="B8" s="13">
        <v>1085.1393889999999</v>
      </c>
      <c r="C8" s="13">
        <v>1074.1438189999999</v>
      </c>
      <c r="E8" s="13">
        <v>916.13199399999996</v>
      </c>
    </row>
    <row r="9" spans="1:42" x14ac:dyDescent="0.25">
      <c r="A9" s="13" t="s">
        <v>80</v>
      </c>
      <c r="B9" s="13">
        <f>B8*B7</f>
        <v>13275.976168951538</v>
      </c>
      <c r="E9" s="13">
        <f>E8*E7</f>
        <v>14515.045983420978</v>
      </c>
    </row>
    <row r="10" spans="1:42" x14ac:dyDescent="0.25">
      <c r="I10" s="13" t="s">
        <v>91</v>
      </c>
    </row>
    <row r="11" spans="1:42" x14ac:dyDescent="0.25">
      <c r="I11" s="13">
        <v>-1035</v>
      </c>
    </row>
    <row r="13" spans="1:42" x14ac:dyDescent="0.25">
      <c r="C13" s="19"/>
      <c r="D13" s="13" t="s">
        <v>97</v>
      </c>
    </row>
    <row r="14" spans="1:42" x14ac:dyDescent="0.25">
      <c r="C14" s="25"/>
      <c r="D14" s="13" t="s">
        <v>98</v>
      </c>
    </row>
    <row r="15" spans="1:42" ht="13.5" thickBot="1" x14ac:dyDescent="0.3">
      <c r="U15" s="50"/>
      <c r="V15" s="50" t="s">
        <v>128</v>
      </c>
      <c r="W15" s="50"/>
      <c r="X15" s="50"/>
      <c r="Y15" s="50"/>
      <c r="Z15" s="50"/>
      <c r="AA15" s="50"/>
      <c r="AB15" s="50"/>
      <c r="AC15" s="28"/>
      <c r="AD15" s="28"/>
      <c r="AE15" s="50"/>
      <c r="AF15" s="50"/>
      <c r="AG15" s="50"/>
      <c r="AH15" s="50" t="s">
        <v>143</v>
      </c>
      <c r="AI15" s="50"/>
      <c r="AJ15" s="50"/>
      <c r="AK15" s="50"/>
      <c r="AL15" s="50"/>
    </row>
    <row r="16" spans="1:42" ht="13.5" x14ac:dyDescent="0.25">
      <c r="A16" s="27"/>
      <c r="B16" s="43">
        <v>1</v>
      </c>
      <c r="C16" s="43">
        <v>2</v>
      </c>
      <c r="D16" s="43">
        <v>3</v>
      </c>
      <c r="E16" s="34"/>
      <c r="F16" s="35">
        <v>4</v>
      </c>
      <c r="G16" s="34"/>
      <c r="H16" s="35">
        <v>5</v>
      </c>
      <c r="I16" s="34"/>
      <c r="J16" s="35">
        <v>6</v>
      </c>
      <c r="K16" s="34"/>
      <c r="L16" s="35">
        <v>7</v>
      </c>
      <c r="M16" s="34"/>
      <c r="N16" s="35">
        <v>8</v>
      </c>
      <c r="O16" s="34"/>
      <c r="P16" s="35">
        <v>9</v>
      </c>
      <c r="Q16" s="34"/>
      <c r="R16" s="35">
        <v>10</v>
      </c>
      <c r="S16" s="34"/>
      <c r="T16" s="35">
        <v>11</v>
      </c>
      <c r="U16" s="34"/>
      <c r="V16" s="51">
        <v>12</v>
      </c>
      <c r="W16" s="51">
        <v>13</v>
      </c>
      <c r="X16" s="35">
        <v>14</v>
      </c>
      <c r="Y16" s="34"/>
      <c r="Z16" s="51">
        <v>15</v>
      </c>
      <c r="AA16" s="51">
        <v>16</v>
      </c>
      <c r="AB16" s="35">
        <v>17</v>
      </c>
      <c r="AC16" s="34"/>
      <c r="AD16" s="35">
        <v>18</v>
      </c>
      <c r="AE16" s="34"/>
      <c r="AF16" s="35">
        <v>19</v>
      </c>
      <c r="AG16" s="34"/>
      <c r="AH16" s="35">
        <v>20</v>
      </c>
      <c r="AI16" s="34"/>
      <c r="AJ16" s="35">
        <v>21</v>
      </c>
      <c r="AK16" s="34"/>
      <c r="AL16" s="35">
        <v>22</v>
      </c>
      <c r="AM16" s="34"/>
      <c r="AN16" s="35">
        <v>23</v>
      </c>
      <c r="AO16" s="27"/>
      <c r="AP16" s="27"/>
    </row>
    <row r="17" spans="1:40" x14ac:dyDescent="0.25">
      <c r="B17" s="44">
        <v>1</v>
      </c>
      <c r="C17" s="44">
        <v>2</v>
      </c>
      <c r="D17" s="44">
        <v>3</v>
      </c>
      <c r="E17" s="36"/>
      <c r="F17" s="42">
        <v>1</v>
      </c>
      <c r="G17" s="36"/>
      <c r="H17" s="42">
        <v>1</v>
      </c>
      <c r="I17" s="36"/>
      <c r="J17" s="42">
        <v>1</v>
      </c>
      <c r="K17" s="36"/>
      <c r="L17" s="42">
        <v>1</v>
      </c>
      <c r="M17" s="36"/>
      <c r="N17" s="42">
        <v>1</v>
      </c>
      <c r="O17" s="36"/>
      <c r="P17" s="42">
        <v>1</v>
      </c>
      <c r="Q17" s="36"/>
      <c r="R17" s="42">
        <v>1</v>
      </c>
      <c r="S17" s="36"/>
      <c r="T17" s="42">
        <v>1</v>
      </c>
      <c r="U17" s="36"/>
      <c r="V17" s="54">
        <v>1</v>
      </c>
      <c r="W17" s="54">
        <v>2</v>
      </c>
      <c r="X17" s="42">
        <v>3</v>
      </c>
      <c r="Y17" s="36"/>
      <c r="Z17" s="54">
        <v>1</v>
      </c>
      <c r="AA17" s="54">
        <v>2</v>
      </c>
      <c r="AB17" s="42">
        <v>3</v>
      </c>
      <c r="AC17" s="36"/>
      <c r="AD17" s="42">
        <v>1</v>
      </c>
      <c r="AE17" s="36"/>
      <c r="AF17" s="42"/>
      <c r="AG17" s="36"/>
      <c r="AH17" s="42"/>
      <c r="AI17" s="36"/>
      <c r="AJ17" s="42"/>
      <c r="AK17" s="36"/>
      <c r="AL17" s="42"/>
      <c r="AM17" s="36"/>
      <c r="AN17" s="42"/>
    </row>
    <row r="18" spans="1:40" ht="13.5" x14ac:dyDescent="0.25">
      <c r="A18" s="19" t="s">
        <v>109</v>
      </c>
      <c r="B18" s="45" t="s">
        <v>102</v>
      </c>
      <c r="C18" s="45" t="s">
        <v>102</v>
      </c>
      <c r="D18" s="45" t="s">
        <v>102</v>
      </c>
      <c r="E18" s="38" t="s">
        <v>111</v>
      </c>
      <c r="F18" s="37" t="s">
        <v>102</v>
      </c>
      <c r="G18" s="38" t="s">
        <v>105</v>
      </c>
      <c r="H18" s="37" t="s">
        <v>103</v>
      </c>
      <c r="I18" s="38" t="s">
        <v>114</v>
      </c>
      <c r="J18" s="37" t="s">
        <v>102</v>
      </c>
      <c r="K18" s="38" t="s">
        <v>119</v>
      </c>
      <c r="L18" s="39" t="s">
        <v>120</v>
      </c>
      <c r="M18" s="38" t="s">
        <v>121</v>
      </c>
      <c r="N18" s="39" t="s">
        <v>120</v>
      </c>
      <c r="O18" s="38" t="s">
        <v>124</v>
      </c>
      <c r="P18" s="39" t="s">
        <v>123</v>
      </c>
      <c r="Q18" s="38" t="s">
        <v>116</v>
      </c>
      <c r="R18" s="37" t="s">
        <v>102</v>
      </c>
      <c r="S18" s="38" t="s">
        <v>117</v>
      </c>
      <c r="T18" s="37" t="s">
        <v>102</v>
      </c>
      <c r="U18" s="38" t="s">
        <v>132</v>
      </c>
      <c r="V18" s="60" t="s">
        <v>133</v>
      </c>
      <c r="W18" s="57"/>
      <c r="X18" s="58"/>
      <c r="Y18" s="38" t="s">
        <v>134</v>
      </c>
      <c r="Z18" s="57" t="s">
        <v>102</v>
      </c>
      <c r="AA18" s="57" t="s">
        <v>102</v>
      </c>
      <c r="AB18" s="58" t="s">
        <v>102</v>
      </c>
      <c r="AC18" s="38" t="s">
        <v>137</v>
      </c>
      <c r="AD18" s="37" t="s">
        <v>102</v>
      </c>
      <c r="AE18" s="38" t="s">
        <v>141</v>
      </c>
      <c r="AF18" s="37" t="s">
        <v>102</v>
      </c>
      <c r="AG18" s="38" t="s">
        <v>138</v>
      </c>
      <c r="AH18" s="37" t="s">
        <v>102</v>
      </c>
      <c r="AI18" s="38" t="s">
        <v>142</v>
      </c>
      <c r="AJ18" s="37" t="s">
        <v>102</v>
      </c>
      <c r="AK18" s="38" t="s">
        <v>144</v>
      </c>
      <c r="AL18" s="37" t="s">
        <v>102</v>
      </c>
      <c r="AM18" s="38" t="s">
        <v>157</v>
      </c>
      <c r="AN18" s="37" t="s">
        <v>102</v>
      </c>
    </row>
    <row r="19" spans="1:40" ht="13.5" x14ac:dyDescent="0.25">
      <c r="A19" s="19" t="s">
        <v>105</v>
      </c>
      <c r="B19" s="45" t="s">
        <v>103</v>
      </c>
      <c r="C19" s="45" t="s">
        <v>103</v>
      </c>
      <c r="D19" s="45" t="s">
        <v>103</v>
      </c>
      <c r="E19" s="38" t="s">
        <v>105</v>
      </c>
      <c r="F19" s="37" t="s">
        <v>103</v>
      </c>
      <c r="G19" s="36"/>
      <c r="H19" s="37"/>
      <c r="I19" s="38" t="s">
        <v>105</v>
      </c>
      <c r="J19" s="37" t="s">
        <v>103</v>
      </c>
      <c r="K19" s="36"/>
      <c r="L19" s="37"/>
      <c r="M19" s="36"/>
      <c r="N19" s="37"/>
      <c r="O19" s="36"/>
      <c r="P19" s="37"/>
      <c r="Q19" s="36"/>
      <c r="R19" s="37"/>
      <c r="S19" s="36"/>
      <c r="T19" s="37"/>
      <c r="U19" s="36"/>
      <c r="V19" s="52"/>
      <c r="W19" s="52"/>
      <c r="X19" s="37"/>
      <c r="Y19" s="61" t="s">
        <v>135</v>
      </c>
      <c r="Z19" s="52"/>
      <c r="AA19" s="52"/>
      <c r="AB19" s="37"/>
      <c r="AC19" s="38" t="s">
        <v>138</v>
      </c>
      <c r="AD19" s="37" t="s">
        <v>103</v>
      </c>
      <c r="AE19" s="55"/>
      <c r="AF19" s="37"/>
      <c r="AG19" s="55"/>
      <c r="AH19" s="37"/>
      <c r="AI19" s="55"/>
      <c r="AJ19" s="37"/>
      <c r="AK19" s="55"/>
      <c r="AL19" s="37"/>
      <c r="AM19" s="55"/>
      <c r="AN19" s="37"/>
    </row>
    <row r="20" spans="1:40" x14ac:dyDescent="0.25">
      <c r="B20" s="45"/>
      <c r="C20" s="45"/>
      <c r="D20" s="45"/>
      <c r="E20" s="36"/>
      <c r="F20" s="37"/>
      <c r="G20" s="36"/>
      <c r="H20" s="37"/>
      <c r="I20" s="36"/>
      <c r="J20" s="37"/>
      <c r="K20" s="36"/>
      <c r="L20" s="37"/>
      <c r="M20" s="36"/>
      <c r="N20" s="37"/>
      <c r="O20" s="36"/>
      <c r="P20" s="37" t="s">
        <v>126</v>
      </c>
      <c r="Q20" s="36"/>
      <c r="R20" s="37"/>
      <c r="S20" s="36"/>
      <c r="T20" s="37"/>
      <c r="U20" s="36"/>
      <c r="V20" s="52"/>
      <c r="W20" s="52"/>
      <c r="X20" s="37"/>
      <c r="Y20" s="36"/>
      <c r="Z20" s="52"/>
      <c r="AA20" s="52"/>
      <c r="AB20" s="37"/>
      <c r="AC20" s="36"/>
      <c r="AD20" s="37"/>
      <c r="AE20" s="36"/>
      <c r="AF20" s="37"/>
      <c r="AG20" s="36"/>
      <c r="AH20" s="37"/>
      <c r="AI20" s="36"/>
      <c r="AJ20" s="37"/>
      <c r="AK20" s="36"/>
      <c r="AL20" s="37"/>
      <c r="AM20" s="36"/>
      <c r="AN20" s="37"/>
    </row>
    <row r="21" spans="1:40" x14ac:dyDescent="0.25">
      <c r="B21" s="45"/>
      <c r="C21" s="45"/>
      <c r="D21" s="45"/>
      <c r="E21" s="36"/>
      <c r="F21" s="37"/>
      <c r="G21" s="36"/>
      <c r="H21" s="37"/>
      <c r="I21" s="36"/>
      <c r="J21" s="37"/>
      <c r="K21" s="36"/>
      <c r="L21" s="37"/>
      <c r="M21" s="36"/>
      <c r="N21" s="37"/>
      <c r="O21" s="36"/>
      <c r="P21" s="37"/>
      <c r="Q21" s="36"/>
      <c r="R21" s="37"/>
      <c r="S21" s="36"/>
      <c r="T21" s="37"/>
      <c r="U21" s="36"/>
      <c r="V21" s="52"/>
      <c r="W21" s="52"/>
      <c r="X21" s="37"/>
      <c r="Y21" s="36"/>
      <c r="Z21" s="52"/>
      <c r="AA21" s="52"/>
      <c r="AB21" s="37"/>
      <c r="AC21" s="36" t="s">
        <v>140</v>
      </c>
      <c r="AD21" s="37"/>
      <c r="AE21" s="36"/>
      <c r="AF21" s="37"/>
      <c r="AG21" s="36"/>
      <c r="AH21" s="37"/>
      <c r="AI21" s="36"/>
      <c r="AJ21" s="37"/>
      <c r="AK21" s="36"/>
      <c r="AL21" s="37"/>
      <c r="AM21" s="36"/>
      <c r="AN21" s="37"/>
    </row>
    <row r="22" spans="1:40" x14ac:dyDescent="0.25">
      <c r="B22" s="44" t="s">
        <v>99</v>
      </c>
      <c r="C22" s="44" t="s">
        <v>100</v>
      </c>
      <c r="D22" s="44" t="s">
        <v>101</v>
      </c>
      <c r="E22" s="36"/>
      <c r="F22" s="42" t="s">
        <v>108</v>
      </c>
      <c r="G22" s="36"/>
      <c r="H22" s="42" t="s">
        <v>112</v>
      </c>
      <c r="I22" s="36"/>
      <c r="J22" s="42" t="s">
        <v>113</v>
      </c>
      <c r="K22" s="36"/>
      <c r="L22" s="37"/>
      <c r="M22" s="36"/>
      <c r="N22" s="37"/>
      <c r="O22" s="36"/>
      <c r="P22" s="37"/>
      <c r="Q22" s="36"/>
      <c r="R22" s="42" t="s">
        <v>115</v>
      </c>
      <c r="S22" s="36"/>
      <c r="T22" s="42" t="s">
        <v>118</v>
      </c>
      <c r="U22" s="36"/>
      <c r="V22" s="52"/>
      <c r="W22" s="52"/>
      <c r="X22" s="37"/>
      <c r="Y22" s="36"/>
      <c r="Z22" s="52"/>
      <c r="AA22" s="52"/>
      <c r="AB22" s="37"/>
      <c r="AC22" s="36"/>
      <c r="AD22" s="42" t="s">
        <v>136</v>
      </c>
      <c r="AE22" s="36"/>
      <c r="AF22" s="42" t="s">
        <v>148</v>
      </c>
      <c r="AG22" s="36"/>
      <c r="AH22" s="42" t="s">
        <v>147</v>
      </c>
      <c r="AI22" s="36"/>
      <c r="AJ22" s="42" t="s">
        <v>146</v>
      </c>
      <c r="AK22" s="36"/>
      <c r="AL22" s="42" t="s">
        <v>145</v>
      </c>
      <c r="AM22" s="36"/>
      <c r="AN22" s="42" t="s">
        <v>154</v>
      </c>
    </row>
    <row r="23" spans="1:40" x14ac:dyDescent="0.25">
      <c r="A23" s="13" t="s">
        <v>106</v>
      </c>
      <c r="B23" s="45" t="s">
        <v>104</v>
      </c>
      <c r="C23" s="45" t="s">
        <v>104</v>
      </c>
      <c r="D23" s="45" t="s">
        <v>104</v>
      </c>
      <c r="E23" s="36"/>
      <c r="F23" s="37" t="s">
        <v>104</v>
      </c>
      <c r="G23" s="36"/>
      <c r="H23" s="37" t="s">
        <v>103</v>
      </c>
      <c r="I23" s="36"/>
      <c r="J23" s="37" t="s">
        <v>139</v>
      </c>
      <c r="K23" s="36"/>
      <c r="L23" s="37"/>
      <c r="M23" s="36"/>
      <c r="N23" s="37"/>
      <c r="O23" s="36"/>
      <c r="P23" s="37"/>
      <c r="Q23" s="36"/>
      <c r="R23" s="37" t="s">
        <v>102</v>
      </c>
      <c r="S23" s="36"/>
      <c r="T23" s="37" t="s">
        <v>102</v>
      </c>
      <c r="U23" s="36"/>
      <c r="V23" s="52"/>
      <c r="W23" s="52"/>
      <c r="X23" s="37"/>
      <c r="Y23" s="36"/>
      <c r="Z23" s="52"/>
      <c r="AA23" s="52"/>
      <c r="AB23" s="37"/>
      <c r="AC23" s="36"/>
      <c r="AD23" s="37" t="s">
        <v>139</v>
      </c>
      <c r="AE23" s="36"/>
      <c r="AF23" s="37" t="s">
        <v>102</v>
      </c>
      <c r="AG23" s="36"/>
      <c r="AH23" s="37" t="s">
        <v>102</v>
      </c>
      <c r="AI23" s="36"/>
      <c r="AJ23" s="37" t="s">
        <v>102</v>
      </c>
      <c r="AK23" s="36"/>
      <c r="AL23" s="37" t="s">
        <v>102</v>
      </c>
      <c r="AM23" s="55" t="s">
        <v>155</v>
      </c>
      <c r="AN23" s="37" t="s">
        <v>102</v>
      </c>
    </row>
    <row r="24" spans="1:40" x14ac:dyDescent="0.25">
      <c r="B24" s="45" t="s">
        <v>110</v>
      </c>
      <c r="C24" s="45" t="s">
        <v>110</v>
      </c>
      <c r="D24" s="45" t="s">
        <v>110</v>
      </c>
      <c r="E24" s="36"/>
      <c r="F24" s="37" t="s">
        <v>110</v>
      </c>
      <c r="G24" s="36"/>
      <c r="H24" s="37" t="s">
        <v>22</v>
      </c>
      <c r="I24" s="36"/>
      <c r="J24" s="37" t="s">
        <v>56</v>
      </c>
      <c r="K24" s="36"/>
      <c r="L24" s="37" t="s">
        <v>22</v>
      </c>
      <c r="M24" s="36"/>
      <c r="N24" s="37" t="s">
        <v>22</v>
      </c>
      <c r="O24" s="36"/>
      <c r="P24" s="37" t="s">
        <v>22</v>
      </c>
      <c r="Q24" s="36"/>
      <c r="R24" s="37" t="s">
        <v>32</v>
      </c>
      <c r="S24" s="36"/>
      <c r="T24" s="37" t="s">
        <v>38</v>
      </c>
      <c r="U24" s="36"/>
      <c r="V24" s="52" t="s">
        <v>22</v>
      </c>
      <c r="W24" s="52" t="s">
        <v>22</v>
      </c>
      <c r="X24" s="37" t="s">
        <v>22</v>
      </c>
      <c r="Y24" s="36"/>
      <c r="Z24" s="52" t="s">
        <v>22</v>
      </c>
      <c r="AA24" s="52" t="s">
        <v>22</v>
      </c>
      <c r="AB24" s="37" t="s">
        <v>22</v>
      </c>
      <c r="AC24" s="36"/>
      <c r="AD24" s="37" t="s">
        <v>38</v>
      </c>
      <c r="AE24" s="36"/>
      <c r="AF24" s="37" t="s">
        <v>32</v>
      </c>
      <c r="AG24" s="36"/>
      <c r="AH24" s="37" t="s">
        <v>38</v>
      </c>
      <c r="AI24" s="36"/>
      <c r="AJ24" s="37" t="s">
        <v>38</v>
      </c>
      <c r="AK24" s="36"/>
      <c r="AL24" s="37" t="s">
        <v>38</v>
      </c>
      <c r="AM24" s="36"/>
      <c r="AN24" s="37" t="s">
        <v>156</v>
      </c>
    </row>
    <row r="25" spans="1:40" x14ac:dyDescent="0.25">
      <c r="B25" s="45"/>
      <c r="C25" s="45"/>
      <c r="D25" s="45"/>
      <c r="E25" s="36"/>
      <c r="F25" s="37"/>
      <c r="G25" s="36"/>
      <c r="H25" s="37"/>
      <c r="I25" s="36"/>
      <c r="J25" s="37"/>
      <c r="K25" s="36"/>
      <c r="L25" s="37"/>
      <c r="M25" s="36"/>
      <c r="N25" s="37"/>
      <c r="O25" s="36"/>
      <c r="P25" s="37"/>
      <c r="Q25" s="36"/>
      <c r="R25" s="37"/>
      <c r="S25" s="36"/>
      <c r="T25" s="37"/>
      <c r="U25" s="36"/>
      <c r="V25" s="52"/>
      <c r="W25" s="52"/>
      <c r="X25" s="37"/>
      <c r="Y25" s="36"/>
      <c r="Z25" s="52"/>
      <c r="AA25" s="52"/>
      <c r="AB25" s="37"/>
      <c r="AC25" s="36"/>
      <c r="AD25" s="37"/>
      <c r="AE25" s="36"/>
      <c r="AF25" s="37"/>
      <c r="AG25" s="36"/>
      <c r="AH25" s="37"/>
      <c r="AI25" s="36"/>
      <c r="AJ25" s="37"/>
      <c r="AK25" s="36"/>
      <c r="AL25" s="37"/>
      <c r="AM25" s="36"/>
      <c r="AN25" s="37"/>
    </row>
    <row r="26" spans="1:40" s="29" customFormat="1" ht="13.5" x14ac:dyDescent="0.25">
      <c r="B26" s="46" t="s">
        <v>99</v>
      </c>
      <c r="C26" s="46" t="s">
        <v>100</v>
      </c>
      <c r="D26" s="46" t="s">
        <v>101</v>
      </c>
      <c r="E26" s="40"/>
      <c r="F26" s="41" t="s">
        <v>108</v>
      </c>
      <c r="G26" s="40"/>
      <c r="H26" s="41" t="s">
        <v>112</v>
      </c>
      <c r="I26" s="40"/>
      <c r="J26" s="41" t="s">
        <v>113</v>
      </c>
      <c r="K26" s="40"/>
      <c r="L26" s="41" t="s">
        <v>3</v>
      </c>
      <c r="M26" s="40"/>
      <c r="N26" s="41" t="s">
        <v>122</v>
      </c>
      <c r="O26" s="40"/>
      <c r="P26" s="41" t="s">
        <v>127</v>
      </c>
      <c r="Q26" s="40"/>
      <c r="R26" s="41" t="s">
        <v>115</v>
      </c>
      <c r="S26" s="40"/>
      <c r="T26" s="41" t="s">
        <v>118</v>
      </c>
      <c r="U26" s="40"/>
      <c r="V26" s="56" t="s">
        <v>129</v>
      </c>
      <c r="W26" s="56" t="s">
        <v>130</v>
      </c>
      <c r="X26" s="41" t="s">
        <v>131</v>
      </c>
      <c r="Y26" s="40"/>
      <c r="Z26" s="56" t="s">
        <v>23</v>
      </c>
      <c r="AA26" s="56" t="s">
        <v>24</v>
      </c>
      <c r="AB26" s="41" t="s">
        <v>25</v>
      </c>
      <c r="AC26" s="40"/>
      <c r="AD26" s="41" t="s">
        <v>136</v>
      </c>
      <c r="AE26" s="40"/>
      <c r="AF26" s="41" t="s">
        <v>148</v>
      </c>
      <c r="AG26" s="40"/>
      <c r="AH26" s="41" t="s">
        <v>147</v>
      </c>
      <c r="AI26" s="40"/>
      <c r="AJ26" s="41" t="s">
        <v>146</v>
      </c>
      <c r="AK26" s="40"/>
      <c r="AL26" s="41" t="s">
        <v>145</v>
      </c>
      <c r="AM26" s="40"/>
      <c r="AN26" s="41" t="s">
        <v>154</v>
      </c>
    </row>
    <row r="27" spans="1:40" x14ac:dyDescent="0.25">
      <c r="A27" s="13" t="s">
        <v>107</v>
      </c>
      <c r="B27" s="45"/>
      <c r="C27" s="45"/>
      <c r="D27" s="45"/>
      <c r="E27" s="36"/>
      <c r="F27" s="37"/>
      <c r="G27" s="36"/>
      <c r="H27" s="37"/>
      <c r="I27" s="36"/>
      <c r="J27" s="37"/>
      <c r="K27" s="36"/>
      <c r="L27" s="37"/>
      <c r="M27" s="36"/>
      <c r="N27" s="37"/>
      <c r="O27" s="36"/>
      <c r="P27" s="37"/>
      <c r="Q27" s="36"/>
      <c r="R27" s="37"/>
      <c r="S27" s="36"/>
      <c r="T27" s="37"/>
      <c r="U27" s="36"/>
      <c r="V27" s="52"/>
      <c r="W27" s="52"/>
      <c r="X27" s="37"/>
      <c r="Y27" s="36"/>
      <c r="Z27" s="52"/>
      <c r="AA27" s="52"/>
      <c r="AB27" s="37"/>
      <c r="AC27" s="36"/>
      <c r="AD27" s="37"/>
      <c r="AE27" s="36"/>
      <c r="AF27" s="37"/>
      <c r="AG27" s="36"/>
      <c r="AH27" s="37"/>
      <c r="AI27" s="36"/>
      <c r="AJ27" s="37"/>
      <c r="AK27" s="36"/>
      <c r="AL27" s="37"/>
      <c r="AM27" s="36"/>
      <c r="AN27" s="37"/>
    </row>
    <row r="28" spans="1:40" x14ac:dyDescent="0.25">
      <c r="B28" s="45"/>
      <c r="C28" s="45"/>
      <c r="D28" s="45"/>
      <c r="E28" s="36"/>
      <c r="F28" s="37"/>
      <c r="G28" s="36"/>
      <c r="H28" s="37"/>
      <c r="I28" s="36"/>
      <c r="J28" s="37"/>
      <c r="K28" s="36"/>
      <c r="L28" s="37"/>
      <c r="M28" s="36"/>
      <c r="N28" s="37"/>
      <c r="O28" s="36"/>
      <c r="P28" s="37"/>
      <c r="Q28" s="36"/>
      <c r="R28" s="37"/>
      <c r="S28" s="36"/>
      <c r="T28" s="37"/>
      <c r="U28" s="36"/>
      <c r="V28" s="52"/>
      <c r="W28" s="52"/>
      <c r="X28" s="37"/>
      <c r="Y28" s="36"/>
      <c r="Z28" s="52"/>
      <c r="AA28" s="52"/>
      <c r="AB28" s="37"/>
      <c r="AC28" s="36"/>
      <c r="AD28" s="37"/>
      <c r="AE28" s="36"/>
      <c r="AF28" s="37"/>
      <c r="AG28" s="36"/>
      <c r="AH28" s="37"/>
      <c r="AI28" s="36"/>
      <c r="AJ28" s="37"/>
      <c r="AK28" s="36"/>
      <c r="AL28" s="37"/>
      <c r="AM28" s="36"/>
      <c r="AN28" s="37"/>
    </row>
    <row r="29" spans="1:40" x14ac:dyDescent="0.25">
      <c r="B29" s="45"/>
      <c r="C29" s="45"/>
      <c r="D29" s="45"/>
      <c r="E29" s="36"/>
      <c r="F29" s="37"/>
      <c r="G29" s="36"/>
      <c r="H29" s="37"/>
      <c r="I29" s="36"/>
      <c r="J29" s="37"/>
      <c r="K29" s="36"/>
      <c r="L29" s="37"/>
      <c r="M29" s="36"/>
      <c r="N29" s="37"/>
      <c r="O29" s="36"/>
      <c r="P29" s="37"/>
      <c r="Q29" s="36"/>
      <c r="R29" s="37"/>
      <c r="S29" s="36"/>
      <c r="T29" s="37"/>
      <c r="U29" s="36"/>
      <c r="V29" s="52"/>
      <c r="W29" s="52"/>
      <c r="X29" s="37"/>
      <c r="Y29" s="36"/>
      <c r="Z29" s="52"/>
      <c r="AA29" s="52"/>
      <c r="AB29" s="37"/>
      <c r="AC29" s="36"/>
      <c r="AD29" s="37"/>
      <c r="AE29" s="36"/>
      <c r="AF29" s="37"/>
      <c r="AG29" s="36"/>
      <c r="AH29" s="37"/>
      <c r="AI29" s="36"/>
      <c r="AJ29" s="37"/>
      <c r="AK29" s="36"/>
      <c r="AL29" s="37"/>
      <c r="AM29" s="36"/>
      <c r="AN29" s="37"/>
    </row>
    <row r="30" spans="1:40" x14ac:dyDescent="0.25">
      <c r="B30" s="45"/>
      <c r="C30" s="45"/>
      <c r="D30" s="45"/>
      <c r="E30" s="36"/>
      <c r="F30" s="37"/>
      <c r="G30" s="36"/>
      <c r="H30" s="37"/>
      <c r="I30" s="36"/>
      <c r="J30" s="37"/>
      <c r="K30" s="36"/>
      <c r="L30" s="37"/>
      <c r="M30" s="36"/>
      <c r="N30" s="37"/>
      <c r="O30" s="36"/>
      <c r="P30" s="37"/>
      <c r="Q30" s="36"/>
      <c r="R30" s="37"/>
      <c r="S30" s="36"/>
      <c r="T30" s="37"/>
      <c r="U30" s="36"/>
      <c r="V30" s="52"/>
      <c r="W30" s="52"/>
      <c r="X30" s="37"/>
      <c r="Y30" s="36"/>
      <c r="Z30" s="52"/>
      <c r="AA30" s="52"/>
      <c r="AB30" s="37"/>
      <c r="AC30" s="36"/>
      <c r="AD30" s="37"/>
      <c r="AE30" s="36"/>
      <c r="AF30" s="37"/>
      <c r="AG30" s="36"/>
      <c r="AH30" s="37"/>
      <c r="AI30" s="36"/>
      <c r="AJ30" s="37"/>
      <c r="AK30" s="36"/>
      <c r="AL30" s="37"/>
      <c r="AM30" s="36"/>
      <c r="AN30" s="37"/>
    </row>
    <row r="31" spans="1:40" x14ac:dyDescent="0.25">
      <c r="B31" s="45"/>
      <c r="C31" s="45"/>
      <c r="D31" s="45"/>
      <c r="E31" s="36"/>
      <c r="F31" s="37"/>
      <c r="G31" s="36"/>
      <c r="H31" s="37"/>
      <c r="I31" s="36"/>
      <c r="J31" s="37"/>
      <c r="K31" s="36"/>
      <c r="L31" s="37"/>
      <c r="M31" s="36"/>
      <c r="N31" s="37"/>
      <c r="O31" s="36"/>
      <c r="P31" s="37"/>
      <c r="Q31" s="36"/>
      <c r="R31" s="37"/>
      <c r="S31" s="36"/>
      <c r="T31" s="37"/>
      <c r="U31" s="36"/>
      <c r="V31" s="52"/>
      <c r="W31" s="52"/>
      <c r="X31" s="37"/>
      <c r="Y31" s="36"/>
      <c r="Z31" s="52"/>
      <c r="AA31" s="52"/>
      <c r="AB31" s="37"/>
      <c r="AC31" s="36"/>
      <c r="AD31" s="37"/>
      <c r="AE31" s="36"/>
      <c r="AF31" s="37"/>
      <c r="AG31" s="36"/>
      <c r="AH31" s="37"/>
      <c r="AI31" s="36"/>
      <c r="AJ31" s="37"/>
      <c r="AK31" s="36"/>
      <c r="AL31" s="37"/>
      <c r="AM31" s="36"/>
      <c r="AN31" s="37"/>
    </row>
    <row r="32" spans="1:40" x14ac:dyDescent="0.25">
      <c r="B32" s="45"/>
      <c r="C32" s="45"/>
      <c r="D32" s="45"/>
      <c r="E32" s="36"/>
      <c r="F32" s="37"/>
      <c r="G32" s="36"/>
      <c r="H32" s="37"/>
      <c r="I32" s="36"/>
      <c r="J32" s="37"/>
      <c r="K32" s="36"/>
      <c r="L32" s="37"/>
      <c r="M32" s="36"/>
      <c r="N32" s="37"/>
      <c r="O32" s="36"/>
      <c r="P32" s="37"/>
      <c r="Q32" s="36"/>
      <c r="R32" s="37"/>
      <c r="S32" s="36"/>
      <c r="T32" s="37"/>
      <c r="U32" s="36"/>
      <c r="V32" s="52"/>
      <c r="W32" s="52"/>
      <c r="X32" s="37"/>
      <c r="Y32" s="36"/>
      <c r="Z32" s="52"/>
      <c r="AA32" s="52"/>
      <c r="AB32" s="37"/>
      <c r="AC32" s="36"/>
      <c r="AD32" s="37"/>
      <c r="AE32" s="36"/>
      <c r="AF32" s="37"/>
      <c r="AG32" s="36"/>
      <c r="AH32" s="37"/>
      <c r="AI32" s="36"/>
      <c r="AJ32" s="37"/>
      <c r="AK32" s="36"/>
      <c r="AL32" s="37"/>
      <c r="AM32" s="36"/>
      <c r="AN32" s="37"/>
    </row>
    <row r="33" spans="2:40" x14ac:dyDescent="0.25">
      <c r="B33" s="45"/>
      <c r="C33" s="45"/>
      <c r="D33" s="45"/>
      <c r="E33" s="36"/>
      <c r="F33" s="37"/>
      <c r="G33" s="36"/>
      <c r="H33" s="37"/>
      <c r="I33" s="36"/>
      <c r="J33" s="37"/>
      <c r="K33" s="36"/>
      <c r="L33" s="37"/>
      <c r="M33" s="36"/>
      <c r="N33" s="37"/>
      <c r="O33" s="36"/>
      <c r="P33" s="37"/>
      <c r="Q33" s="36"/>
      <c r="R33" s="37"/>
      <c r="S33" s="36"/>
      <c r="T33" s="37"/>
      <c r="U33" s="36"/>
      <c r="V33" s="52"/>
      <c r="W33" s="52"/>
      <c r="X33" s="37"/>
      <c r="Y33" s="36"/>
      <c r="Z33" s="52"/>
      <c r="AA33" s="52"/>
      <c r="AB33" s="37"/>
      <c r="AC33" s="36"/>
      <c r="AD33" s="37"/>
      <c r="AE33" s="36"/>
      <c r="AF33" s="37"/>
      <c r="AG33" s="36"/>
      <c r="AH33" s="37"/>
      <c r="AI33" s="36"/>
      <c r="AJ33" s="37"/>
      <c r="AK33" s="36"/>
      <c r="AL33" s="37"/>
      <c r="AM33" s="36"/>
      <c r="AN33" s="37"/>
    </row>
    <row r="34" spans="2:40" s="28" customFormat="1" ht="13.5" thickBot="1" x14ac:dyDescent="0.3">
      <c r="B34" s="47"/>
      <c r="C34" s="47"/>
      <c r="D34" s="47"/>
      <c r="E34" s="48"/>
      <c r="F34" s="49"/>
      <c r="G34" s="48"/>
      <c r="H34" s="49"/>
      <c r="I34" s="48"/>
      <c r="J34" s="49"/>
      <c r="K34" s="48"/>
      <c r="L34" s="49"/>
      <c r="M34" s="48"/>
      <c r="N34" s="49"/>
      <c r="O34" s="48"/>
      <c r="P34" s="49"/>
      <c r="Q34" s="48"/>
      <c r="R34" s="49"/>
      <c r="S34" s="48"/>
      <c r="T34" s="49"/>
      <c r="U34" s="48"/>
      <c r="V34" s="53"/>
      <c r="W34" s="53"/>
      <c r="X34" s="49"/>
      <c r="Y34" s="48"/>
      <c r="Z34" s="53"/>
      <c r="AA34" s="53"/>
      <c r="AB34" s="49"/>
      <c r="AC34" s="48"/>
      <c r="AD34" s="49"/>
      <c r="AE34" s="48"/>
      <c r="AF34" s="49"/>
      <c r="AG34" s="48"/>
      <c r="AH34" s="49"/>
      <c r="AI34" s="48"/>
      <c r="AJ34" s="49"/>
      <c r="AK34" s="48"/>
      <c r="AL34" s="49"/>
      <c r="AM34" s="48"/>
      <c r="AN34" s="49"/>
    </row>
    <row r="44" spans="2:40" ht="13.5" x14ac:dyDescent="0.25">
      <c r="E44" s="30" t="s">
        <v>150</v>
      </c>
    </row>
    <row r="45" spans="2:40" x14ac:dyDescent="0.25">
      <c r="C45" s="28"/>
      <c r="E45" s="28" t="s">
        <v>99</v>
      </c>
    </row>
    <row r="46" spans="2:40" x14ac:dyDescent="0.25">
      <c r="C46" s="28"/>
      <c r="E46" s="28" t="s">
        <v>100</v>
      </c>
    </row>
    <row r="47" spans="2:40" x14ac:dyDescent="0.25">
      <c r="C47" s="28"/>
      <c r="E47" s="28" t="s">
        <v>101</v>
      </c>
    </row>
    <row r="48" spans="2:40" x14ac:dyDescent="0.25">
      <c r="C48" s="28"/>
      <c r="E48" s="28" t="s">
        <v>108</v>
      </c>
    </row>
    <row r="49" spans="3:5" x14ac:dyDescent="0.25">
      <c r="E49" s="28" t="s">
        <v>112</v>
      </c>
    </row>
    <row r="50" spans="3:5" x14ac:dyDescent="0.25">
      <c r="C50" s="28"/>
      <c r="E50" s="28" t="s">
        <v>113</v>
      </c>
    </row>
    <row r="51" spans="3:5" x14ac:dyDescent="0.25">
      <c r="C51" s="28"/>
      <c r="E51" s="28" t="s">
        <v>3</v>
      </c>
    </row>
    <row r="52" spans="3:5" x14ac:dyDescent="0.25">
      <c r="C52" s="28"/>
      <c r="E52" s="28" t="s">
        <v>122</v>
      </c>
    </row>
    <row r="53" spans="3:5" x14ac:dyDescent="0.25">
      <c r="C53" s="28"/>
      <c r="E53" s="28" t="s">
        <v>127</v>
      </c>
    </row>
    <row r="54" spans="3:5" x14ac:dyDescent="0.25">
      <c r="C54" s="28"/>
      <c r="E54" s="28" t="s">
        <v>115</v>
      </c>
    </row>
    <row r="55" spans="3:5" x14ac:dyDescent="0.25">
      <c r="C55" s="28"/>
      <c r="E55" s="28" t="s">
        <v>118</v>
      </c>
    </row>
    <row r="56" spans="3:5" x14ac:dyDescent="0.25">
      <c r="C56" s="28"/>
      <c r="E56" s="28" t="s">
        <v>129</v>
      </c>
    </row>
    <row r="57" spans="3:5" x14ac:dyDescent="0.25">
      <c r="C57" s="28"/>
      <c r="E57" s="28" t="s">
        <v>130</v>
      </c>
    </row>
    <row r="58" spans="3:5" x14ac:dyDescent="0.25">
      <c r="C58" s="28"/>
      <c r="E58" s="28" t="s">
        <v>131</v>
      </c>
    </row>
    <row r="59" spans="3:5" x14ac:dyDescent="0.25">
      <c r="C59" s="28"/>
      <c r="E59" s="28" t="s">
        <v>23</v>
      </c>
    </row>
    <row r="60" spans="3:5" x14ac:dyDescent="0.25">
      <c r="C60" s="28"/>
      <c r="E60" s="28" t="s">
        <v>24</v>
      </c>
    </row>
    <row r="61" spans="3:5" x14ac:dyDescent="0.25">
      <c r="C61" s="28"/>
      <c r="E61" s="28" t="s">
        <v>25</v>
      </c>
    </row>
    <row r="62" spans="3:5" x14ac:dyDescent="0.25">
      <c r="C62" s="28"/>
      <c r="E62" s="28" t="s">
        <v>136</v>
      </c>
    </row>
    <row r="63" spans="3:5" x14ac:dyDescent="0.25">
      <c r="C63" s="28"/>
      <c r="E63" s="28" t="s">
        <v>148</v>
      </c>
    </row>
    <row r="64" spans="3:5" x14ac:dyDescent="0.25">
      <c r="C64" s="28"/>
      <c r="E64" s="28" t="s">
        <v>147</v>
      </c>
    </row>
    <row r="65" spans="3:5" x14ac:dyDescent="0.25">
      <c r="C65" s="28"/>
      <c r="E65" s="28" t="s">
        <v>146</v>
      </c>
    </row>
    <row r="66" spans="3:5" x14ac:dyDescent="0.25">
      <c r="C66" s="28"/>
      <c r="E66" s="28" t="s">
        <v>145</v>
      </c>
    </row>
    <row r="67" spans="3:5" x14ac:dyDescent="0.25">
      <c r="E67" s="28" t="s">
        <v>154</v>
      </c>
    </row>
    <row r="68" spans="3:5" ht="15" x14ac:dyDescent="0.25">
      <c r="E68"/>
    </row>
    <row r="69" spans="3:5" ht="15" x14ac:dyDescent="0.25">
      <c r="E69"/>
    </row>
    <row r="70" spans="3:5" ht="15" x14ac:dyDescent="0.25">
      <c r="E70"/>
    </row>
    <row r="71" spans="3:5" ht="15" x14ac:dyDescent="0.25">
      <c r="E71"/>
    </row>
    <row r="72" spans="3:5" ht="15" x14ac:dyDescent="0.25">
      <c r="E72"/>
    </row>
    <row r="73" spans="3:5" ht="15" x14ac:dyDescent="0.25">
      <c r="E73"/>
    </row>
    <row r="74" spans="3:5" ht="15" x14ac:dyDescent="0.25">
      <c r="E74"/>
    </row>
    <row r="75" spans="3:5" ht="15" x14ac:dyDescent="0.25">
      <c r="E75"/>
    </row>
    <row r="76" spans="3:5" ht="15" x14ac:dyDescent="0.25">
      <c r="E76"/>
    </row>
    <row r="77" spans="3:5" ht="15" x14ac:dyDescent="0.25">
      <c r="E77"/>
    </row>
    <row r="78" spans="3:5" ht="15" x14ac:dyDescent="0.25">
      <c r="E78"/>
    </row>
    <row r="79" spans="3:5" ht="15" x14ac:dyDescent="0.25">
      <c r="E79"/>
    </row>
    <row r="80" spans="3:5" ht="15" x14ac:dyDescent="0.25">
      <c r="E80"/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DateSet</vt:lpstr>
      <vt:lpstr>Получить хотим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Федореев</dc:creator>
  <cp:lastModifiedBy>Юрий Федореев</cp:lastModifiedBy>
  <dcterms:created xsi:type="dcterms:W3CDTF">2024-11-03T19:53:17Z</dcterms:created>
  <dcterms:modified xsi:type="dcterms:W3CDTF">2024-12-17T19:53:30Z</dcterms:modified>
</cp:coreProperties>
</file>